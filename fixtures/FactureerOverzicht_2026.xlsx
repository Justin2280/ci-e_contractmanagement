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dew\Downloads\"/>
    </mc:Choice>
  </mc:AlternateContent>
  <xr:revisionPtr revIDLastSave="0" documentId="8_{2D5996DD-7F54-4B1B-A0BF-176533C96A58}" xr6:coauthVersionLast="47" xr6:coauthVersionMax="47" xr10:uidLastSave="{00000000-0000-0000-0000-000000000000}"/>
  <bookViews>
    <workbookView xWindow="3960" yWindow="4185" windowWidth="21600" windowHeight="11295" xr2:uid="{00000000-000D-0000-FFFF-FFFF00000000}"/>
  </bookViews>
  <sheets>
    <sheet name="Contractoverzicht" sheetId="10" r:id="rId1"/>
    <sheet name="Periode 1" sheetId="30" r:id="rId2"/>
    <sheet name="Periode 2" sheetId="31" r:id="rId3"/>
    <sheet name="Periode 3" sheetId="32" r:id="rId4"/>
    <sheet name="Periode 4" sheetId="34" r:id="rId5"/>
    <sheet name="Periode 5" sheetId="35" r:id="rId6"/>
    <sheet name="Periode 6" sheetId="36" r:id="rId7"/>
    <sheet name="Periode 7" sheetId="37" r:id="rId8"/>
    <sheet name="Periode 8" sheetId="38" r:id="rId9"/>
  </sheets>
  <definedNames>
    <definedName name="_xlnm._FilterDatabase" localSheetId="0" hidden="1">Contractoverzicht!$A$1:$P$1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8" l="1"/>
  <c r="B18" i="38"/>
  <c r="B20" i="37"/>
  <c r="B18" i="37"/>
  <c r="B20" i="36"/>
  <c r="B18" i="36"/>
  <c r="B20" i="35"/>
  <c r="B18" i="35"/>
  <c r="B20" i="34"/>
  <c r="B18" i="34"/>
  <c r="B21" i="32"/>
  <c r="B19" i="32"/>
  <c r="B22" i="31"/>
  <c r="B20" i="31"/>
  <c r="B21" i="30"/>
  <c r="B19" i="30"/>
  <c r="F15" i="10"/>
</calcChain>
</file>

<file path=xl/sharedStrings.xml><?xml version="1.0" encoding="utf-8"?>
<sst xmlns="http://schemas.openxmlformats.org/spreadsheetml/2006/main" count="567" uniqueCount="150">
  <si>
    <t>Naam medewerker</t>
  </si>
  <si>
    <t>Uren bon</t>
  </si>
  <si>
    <t>Uren excellijst</t>
  </si>
  <si>
    <t>Waar?</t>
  </si>
  <si>
    <t>Opmerkingen</t>
  </si>
  <si>
    <t>Kolom1</t>
  </si>
  <si>
    <t>Dhr. F. Berrier</t>
  </si>
  <si>
    <t xml:space="preserve">Dhr J.S. Kalra </t>
  </si>
  <si>
    <t>Dhr D.R. van Hek</t>
  </si>
  <si>
    <t>Dhr. K. de Ruiter</t>
  </si>
  <si>
    <t>Mobilis</t>
  </si>
  <si>
    <t>Zelf de urenstaten maken en opsturen</t>
  </si>
  <si>
    <t xml:space="preserve">Dhr S. Fisseha </t>
  </si>
  <si>
    <t xml:space="preserve">Dhr B.M. Zakernejad </t>
  </si>
  <si>
    <t>Dhr. B. Prins</t>
  </si>
  <si>
    <t>Nieuw-Zuid</t>
  </si>
  <si>
    <t>Dhr. K.J. van Dulst</t>
  </si>
  <si>
    <t xml:space="preserve">Dhr. P.F. van Apeldoorn </t>
  </si>
  <si>
    <t>Dhr. R. Rier</t>
  </si>
  <si>
    <t xml:space="preserve">Dhr. S.M. van Dalen </t>
  </si>
  <si>
    <t>Dhr. J. Schenk</t>
  </si>
  <si>
    <t>Nieuw-Zuid/VHB</t>
  </si>
  <si>
    <t xml:space="preserve">Dhr A. Epker </t>
  </si>
  <si>
    <t>Portal-RHBHV</t>
  </si>
  <si>
    <t xml:space="preserve">Dhr. M.A. Storm </t>
  </si>
  <si>
    <t>Dhr W.S. Terpstra</t>
  </si>
  <si>
    <t>Dhr. F. Akhiat</t>
  </si>
  <si>
    <t>VHB</t>
  </si>
  <si>
    <t>Medewerker</t>
  </si>
  <si>
    <t>Startdatum</t>
  </si>
  <si>
    <t>Einddatum</t>
  </si>
  <si>
    <t>Contractnummer</t>
  </si>
  <si>
    <t>Tarief</t>
  </si>
  <si>
    <t>Contactpersoon</t>
  </si>
  <si>
    <t>Actiehouder</t>
  </si>
  <si>
    <t>Klant</t>
  </si>
  <si>
    <t>Project</t>
  </si>
  <si>
    <t>Status</t>
  </si>
  <si>
    <t>A1428000362</t>
  </si>
  <si>
    <t>Ballast-Nedam</t>
  </si>
  <si>
    <t>Marktkwartier</t>
  </si>
  <si>
    <t>Jens</t>
  </si>
  <si>
    <t>Actief</t>
  </si>
  <si>
    <t>Email</t>
  </si>
  <si>
    <t>marktkwartier@ballast-nedam.nl</t>
  </si>
  <si>
    <t>Justin</t>
  </si>
  <si>
    <t xml:space="preserve"> VHB-RAM-2022-004 NOVK -001</t>
  </si>
  <si>
    <t>Selectieve Onttrekking</t>
  </si>
  <si>
    <t>Nancy Hage</t>
  </si>
  <si>
    <t>nhage@vhbinfra.nl</t>
  </si>
  <si>
    <t>AK0018-006C</t>
  </si>
  <si>
    <t>Houtmankade etc</t>
  </si>
  <si>
    <t>Duraid Shayout</t>
  </si>
  <si>
    <t xml:space="preserve">dsf.shayout@mobilis.nl </t>
  </si>
  <si>
    <t>OVT Nieuw-Zuid</t>
  </si>
  <si>
    <t>Diana de Beus</t>
  </si>
  <si>
    <t>de.debeus@mobilis.nl</t>
  </si>
  <si>
    <t>In contact</t>
  </si>
  <si>
    <t>Harvey Nash</t>
  </si>
  <si>
    <t>Blankenburg Verbinding</t>
  </si>
  <si>
    <t>N211</t>
  </si>
  <si>
    <t>21116-037C</t>
  </si>
  <si>
    <t>2024-02-FAK</t>
  </si>
  <si>
    <t>2024-07-MST</t>
  </si>
  <si>
    <t>JOB161110</t>
  </si>
  <si>
    <t>RHDHV</t>
  </si>
  <si>
    <t>Rotterdam</t>
  </si>
  <si>
    <t>Magnit</t>
  </si>
  <si>
    <t>2024-07-FBE</t>
  </si>
  <si>
    <t>BCS</t>
  </si>
  <si>
    <t>Buigcentrale</t>
  </si>
  <si>
    <t>Marco Vos</t>
  </si>
  <si>
    <t>mv@bcssteel.eu</t>
  </si>
  <si>
    <t>15-07-204</t>
  </si>
  <si>
    <t>21116-037Cc</t>
  </si>
  <si>
    <t>BESIX</t>
  </si>
  <si>
    <t>Krammersluizen</t>
  </si>
  <si>
    <t>TRIAXKNM-OVK-5980</t>
  </si>
  <si>
    <t>Triaxx</t>
  </si>
  <si>
    <t>ZuidasDok</t>
  </si>
  <si>
    <t>Sander Zwanepol</t>
  </si>
  <si>
    <t>sander.zwanepol@triaxknm.nl</t>
  </si>
  <si>
    <t>1 dag</t>
  </si>
  <si>
    <t xml:space="preserve">4 dagen </t>
  </si>
  <si>
    <t>BAMIC-240927-0001</t>
  </si>
  <si>
    <t>BAM</t>
  </si>
  <si>
    <t>VHB-RAM-2022-004 NOVK -001</t>
  </si>
  <si>
    <t>Dhr. K. Badloe</t>
  </si>
  <si>
    <t>Laura Blokland</t>
  </si>
  <si>
    <t>laura.blokland@besix.com</t>
  </si>
  <si>
    <t>11-12 gemaild voor Indexatie 2025</t>
  </si>
  <si>
    <t>A44</t>
  </si>
  <si>
    <t>Dhr. D. van Hek</t>
  </si>
  <si>
    <t>Mobilis (direct)</t>
  </si>
  <si>
    <t>VHB-RAM-2022-005 NOVK -004</t>
  </si>
  <si>
    <t>Vloedstegenbrug</t>
  </si>
  <si>
    <t>‘KIJK'</t>
  </si>
  <si>
    <t>Vierpaardjes / AWZI Zwanenburg</t>
  </si>
  <si>
    <t>Dhr. S. Fisseha</t>
  </si>
  <si>
    <t>ROCO</t>
  </si>
  <si>
    <t>Oosterweel</t>
  </si>
  <si>
    <t>Mobils</t>
  </si>
  <si>
    <t>Dhr. S. Timmer</t>
  </si>
  <si>
    <t>Combinatie A44</t>
  </si>
  <si>
    <t>Dhr. D. Van Hek</t>
  </si>
  <si>
    <t>NR. C-EK-500-0006</t>
  </si>
  <si>
    <t>N.T.B.</t>
  </si>
  <si>
    <t>VSF</t>
  </si>
  <si>
    <t>KIJK</t>
  </si>
  <si>
    <t>TM ROCO</t>
  </si>
  <si>
    <t>Dhr. W.S. Terpstra</t>
  </si>
  <si>
    <t>Daarna afbouwend van 2 dg/wk naar 1 dg/wk t/m 28-11-2025</t>
  </si>
  <si>
    <t>Boskalis</t>
  </si>
  <si>
    <t>Davy Bijleveld</t>
  </si>
  <si>
    <t>N516</t>
  </si>
  <si>
    <t>Vught</t>
  </si>
  <si>
    <t>Jos den Hollander</t>
  </si>
  <si>
    <t>Leidingevende</t>
  </si>
  <si>
    <t>ONTVANGSTBON MEE</t>
  </si>
  <si>
    <t>davy.bijleveld@boskalis.com</t>
  </si>
  <si>
    <t>Onbp.</t>
  </si>
  <si>
    <t xml:space="preserve"> ICM2125374 </t>
  </si>
  <si>
    <t xml:space="preserve">	2-2-2026</t>
  </si>
  <si>
    <t>Tarief 2025</t>
  </si>
  <si>
    <t xml:space="preserve">VHB-RAM-2022-005 NOVK -008 </t>
  </si>
  <si>
    <t>JOB181917</t>
  </si>
  <si>
    <t>w4 mist</t>
  </si>
  <si>
    <t>GelreGroen</t>
  </si>
  <si>
    <t xml:space="preserve"> 041802483-010594</t>
  </si>
  <si>
    <t>ViaA15</t>
  </si>
  <si>
    <t>Ref op ontvangstbon 041802483-010594</t>
  </si>
  <si>
    <t>Vught Verdiept</t>
  </si>
  <si>
    <t xml:space="preserve">VSW-KRU-2026 </t>
  </si>
  <si>
    <t>Kademakkers</t>
  </si>
  <si>
    <t>Kades</t>
  </si>
  <si>
    <t>Laatste weken missen</t>
  </si>
  <si>
    <t>Dhr. G.R. Stewart</t>
  </si>
  <si>
    <t>Geen uren</t>
  </si>
  <si>
    <t>mist 32 uur</t>
  </si>
  <si>
    <t>mist alles</t>
  </si>
  <si>
    <t>Dhr. G. Supranoto</t>
  </si>
  <si>
    <t>VERLENGEN</t>
  </si>
  <si>
    <t>CONTRACT NOG ONTVANGEN</t>
  </si>
  <si>
    <t>MET VERLOF</t>
  </si>
  <si>
    <t>MAIL GESTUURD</t>
  </si>
  <si>
    <t>Tunnel A10</t>
  </si>
  <si>
    <t>Hier en daar wat uurtjes</t>
  </si>
  <si>
    <t>Opzegtermijn 1 maand. INDEXATIE AANVRAGEN</t>
  </si>
  <si>
    <t>INDEXATIE AANVRAGEN</t>
  </si>
  <si>
    <t>Binnenhof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</si>
</sst>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horizontal="left" vertical="top"/>
    </xf>
    <xf numFmtId="0" fontId="3" fillId="0" borderId="0" xfId="0" applyFont="1"/>
    <xf numFmtId="44" fontId="0" fillId="0" borderId="0" xfId="1" applyFont="1"/>
    <xf numFmtId="14" fontId="0" fillId="0" borderId="0" xfId="0" applyNumberFormat="1"/>
    <xf numFmtId="0" fontId="7" fillId="0" borderId="0" xfId="2"/>
    <xf numFmtId="0" fontId="0" fillId="0" borderId="0" xfId="0" applyAlignment="1">
      <alignment horizontal="left"/>
    </xf>
    <xf numFmtId="0" fontId="6" fillId="0" borderId="0" xfId="0" applyFont="1"/>
    <xf numFmtId="0" fontId="1" fillId="2" borderId="0" xfId="0" applyFont="1" applyFill="1"/>
    <xf numFmtId="0" fontId="8" fillId="0" borderId="0" xfId="0" applyFont="1"/>
    <xf numFmtId="16" fontId="0" fillId="0" borderId="0" xfId="0" applyNumberFormat="1"/>
    <xf numFmtId="0" fontId="2" fillId="3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4">
    <cellStyle name="Hyperlink" xfId="2" builtinId="8"/>
    <cellStyle name="Standaard" xfId="0" builtinId="0"/>
    <cellStyle name="Valuta" xfId="1" builtinId="4"/>
    <cellStyle name="Valuta 2" xfId="3" xr:uid="{82F1B252-B10E-4E85-8E16-A05F7321B5A3}"/>
  </cellStyles>
  <dxfs count="78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left style="thin">
          <color rgb="FF8EA9DB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357BC8-6ADA-46FC-AB13-2797C2930332}" name="Tabel1734586910111213142345671089111213" displayName="Tabel1734586910111213142345671089111213" ref="A1:F18" totalsRowShown="0" headerRowDxfId="77" dataDxfId="76" tableBorderDxfId="75">
  <autoFilter ref="A1:F18" xr:uid="{D1357BC8-6ADA-46FC-AB13-2797C2930332}"/>
  <sortState xmlns:xlrd2="http://schemas.microsoft.com/office/spreadsheetml/2017/richdata2" ref="A2:F18">
    <sortCondition ref="A1:A18"/>
  </sortState>
  <tableColumns count="6">
    <tableColumn id="1" xr3:uid="{D38DDE65-8318-49EA-B45C-02A92C08C686}" name="Naam medewerker" dataDxfId="74"/>
    <tableColumn id="2" xr3:uid="{D2DD7ED2-7D03-4743-8265-F94AA0B319D7}" name="Uren bon" dataDxfId="73"/>
    <tableColumn id="3" xr3:uid="{398DE19B-6DDB-4273-AA25-1D7FDC8B6949}" name="Uren excellijst" dataDxfId="72"/>
    <tableColumn id="4" xr3:uid="{9CC29E62-9C1D-4C81-A2CB-1BDE2F016494}" name="Waar?" dataDxfId="71"/>
    <tableColumn id="5" xr3:uid="{867EE5E2-B49B-4D83-B12F-E969308310FC}" name="Opmerkingen" dataDxfId="70"/>
    <tableColumn id="6" xr3:uid="{EDEF915B-1CF8-4D69-878C-EA44946DE88B}" name="Kolom1" dataDxfId="6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C8C12-64B7-4402-8BF6-1A63DA7B71C5}" name="Tabel17345869101112131423456710891112132" displayName="Tabel17345869101112131423456710891112132" ref="A1:F19" totalsRowShown="0" headerRowDxfId="68" dataDxfId="67" tableBorderDxfId="66">
  <autoFilter ref="A1:F19" xr:uid="{D1357BC8-6ADA-46FC-AB13-2797C2930332}"/>
  <sortState xmlns:xlrd2="http://schemas.microsoft.com/office/spreadsheetml/2017/richdata2" ref="A2:F19">
    <sortCondition ref="A1:A19"/>
  </sortState>
  <tableColumns count="6">
    <tableColumn id="1" xr3:uid="{ABDA6DC8-E2E9-4F5A-AC24-BD5594393AC7}" name="Naam medewerker" dataDxfId="65"/>
    <tableColumn id="2" xr3:uid="{05650199-EBEA-4760-81B3-3BFC65C9C765}" name="Uren bon" dataDxfId="64"/>
    <tableColumn id="3" xr3:uid="{388E671D-7EAB-4D6C-B8F8-2326CC1538C0}" name="Uren excellijst" dataDxfId="63"/>
    <tableColumn id="4" xr3:uid="{935BBC6E-7F37-43BC-B561-19BE2284F253}" name="Waar?" dataDxfId="62"/>
    <tableColumn id="5" xr3:uid="{721CAC27-335C-4CEC-B0E6-E547B78B51DA}" name="Opmerkingen" dataDxfId="61"/>
    <tableColumn id="6" xr3:uid="{0463F787-300A-4DEA-855D-034C23EC1EF8}" name="Kolom1" dataDxfId="6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760878-BDDB-4790-8743-375B4EB11A25}" name="Tabel173458691011121314234567108911121323" displayName="Tabel173458691011121314234567108911121323" ref="A1:F18" totalsRowShown="0" headerRowDxfId="59" dataDxfId="58" tableBorderDxfId="57">
  <autoFilter ref="A1:F18" xr:uid="{D1357BC8-6ADA-46FC-AB13-2797C2930332}"/>
  <sortState xmlns:xlrd2="http://schemas.microsoft.com/office/spreadsheetml/2017/richdata2" ref="A2:F18">
    <sortCondition ref="A1:A18"/>
  </sortState>
  <tableColumns count="6">
    <tableColumn id="1" xr3:uid="{22953F9F-D818-4703-AEE9-5C943B8176B5}" name="Naam medewerker" dataDxfId="56"/>
    <tableColumn id="2" xr3:uid="{4649D740-545A-4A3D-B2B5-EFCAD87C1AF1}" name="Uren bon" dataDxfId="55"/>
    <tableColumn id="3" xr3:uid="{69F7D903-6233-4909-A779-2CC74A32F04F}" name="Uren excellijst" dataDxfId="54"/>
    <tableColumn id="4" xr3:uid="{0A504ED0-7B50-4CA3-9D3A-107038B637F0}" name="Waar?" dataDxfId="53"/>
    <tableColumn id="5" xr3:uid="{55925253-BC3A-4FB5-8738-6B0BA415CE5C}" name="Opmerkingen" dataDxfId="52"/>
    <tableColumn id="6" xr3:uid="{43553BE0-033D-4691-A411-759997535C79}" name="Kolom1" dataDxfId="5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984D8A-3FE6-49BD-9E4E-9182A9A5CB08}" name="Tabel1734586910111213142345671089111213234" displayName="Tabel1734586910111213142345671089111213234" ref="A1:F17" totalsRowShown="0" headerRowDxfId="50" dataDxfId="49" tableBorderDxfId="48">
  <autoFilter ref="A1:F17" xr:uid="{D1357BC8-6ADA-46FC-AB13-2797C2930332}"/>
  <sortState xmlns:xlrd2="http://schemas.microsoft.com/office/spreadsheetml/2017/richdata2" ref="A2:F17">
    <sortCondition ref="A1:A17"/>
  </sortState>
  <tableColumns count="6">
    <tableColumn id="1" xr3:uid="{D34D85F7-A32B-4E9C-8450-961E245DF690}" name="Naam medewerker" dataDxfId="47"/>
    <tableColumn id="2" xr3:uid="{A85A033E-EFE7-4632-B503-9E0A67C3B49D}" name="Uren bon" dataDxfId="46"/>
    <tableColumn id="3" xr3:uid="{60F9322D-C06C-41D5-93B1-DA9186C895D7}" name="Uren excellijst" dataDxfId="45"/>
    <tableColumn id="4" xr3:uid="{B79E2FCC-4A7A-4459-9AFD-5D99181ACE51}" name="Waar?" dataDxfId="44"/>
    <tableColumn id="5" xr3:uid="{F00E347A-DAA4-4889-9232-8AFA1A246C7C}" name="Opmerkingen" dataDxfId="43"/>
    <tableColumn id="6" xr3:uid="{51A37778-8740-4938-AE42-9E25444D8C0F}" name="Kolom1" dataDxfId="4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335830-29A0-4358-AD2E-FE480D597B16}" name="Tabel17345869101112131423456710891112132345" displayName="Tabel17345869101112131423456710891112132345" ref="A1:F17" totalsRowShown="0" headerRowDxfId="41" dataDxfId="40" tableBorderDxfId="39">
  <autoFilter ref="A1:F17" xr:uid="{D1357BC8-6ADA-46FC-AB13-2797C2930332}"/>
  <sortState xmlns:xlrd2="http://schemas.microsoft.com/office/spreadsheetml/2017/richdata2" ref="A2:F17">
    <sortCondition ref="A1:A17"/>
  </sortState>
  <tableColumns count="6">
    <tableColumn id="1" xr3:uid="{F15E7C16-CF63-4121-B6F9-9899DC8AEFCE}" name="Naam medewerker" dataDxfId="38"/>
    <tableColumn id="2" xr3:uid="{AC1730AB-E045-4979-B5A5-ADDB3B48E27D}" name="Uren bon" dataDxfId="37"/>
    <tableColumn id="3" xr3:uid="{0D4162AA-B5BF-4D1E-B61A-B3D16767235B}" name="Uren excellijst" dataDxfId="36"/>
    <tableColumn id="4" xr3:uid="{ED69E9EE-43D8-47A7-BDB2-267D9EFBA3E1}" name="Waar?" dataDxfId="35"/>
    <tableColumn id="5" xr3:uid="{BCAF3D98-2478-403A-A2CA-339BE4FA3F6D}" name="Opmerkingen" dataDxfId="34"/>
    <tableColumn id="6" xr3:uid="{23C581FA-6BEA-4C09-8CD7-1B90847416A4}" name="Kolom1" dataDxfId="33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3775AB-F720-4F05-B302-EA6DF513C669}" name="Tabel173458691011121314234567108911121323457" displayName="Tabel173458691011121314234567108911121323457" ref="A1:F17" totalsRowShown="0" headerRowDxfId="32" dataDxfId="31" tableBorderDxfId="30">
  <autoFilter ref="A1:F17" xr:uid="{9D3775AB-F720-4F05-B302-EA6DF513C669}"/>
  <sortState xmlns:xlrd2="http://schemas.microsoft.com/office/spreadsheetml/2017/richdata2" ref="A2:F17">
    <sortCondition ref="A1:A17"/>
  </sortState>
  <tableColumns count="6">
    <tableColumn id="1" xr3:uid="{BA84B925-76E6-4D2F-8834-73D11CCCB71B}" name="Naam medewerker" dataDxfId="29"/>
    <tableColumn id="2" xr3:uid="{C12282DA-286C-4D89-9DDD-BED3686A62D4}" name="Uren bon" dataDxfId="28"/>
    <tableColumn id="3" xr3:uid="{7F676420-48E8-4EDE-BC1C-6A44717CFA4C}" name="Uren excellijst" dataDxfId="27"/>
    <tableColumn id="4" xr3:uid="{F0F9BACC-D989-40E4-94BB-0C0B8E0E007F}" name="Waar?" dataDxfId="26"/>
    <tableColumn id="5" xr3:uid="{9C29C0BD-BAA6-45D7-92A7-080FA0BFF0C2}" name="Opmerkingen" dataDxfId="25"/>
    <tableColumn id="6" xr3:uid="{848560B3-1C55-4FCB-8726-AA91138C5AF5}" name="Kolom1" dataDxfId="24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D26A04-422B-44DC-9E48-EEAE32C1909C}" name="Tabel1734586910111213142345671089111213234576" displayName="Tabel1734586910111213142345671089111213234576" ref="A1:F17" totalsRowShown="0" headerRowDxfId="23" dataDxfId="22" tableBorderDxfId="21">
  <autoFilter ref="A1:F17" xr:uid="{9D3775AB-F720-4F05-B302-EA6DF513C669}"/>
  <sortState xmlns:xlrd2="http://schemas.microsoft.com/office/spreadsheetml/2017/richdata2" ref="A2:F17">
    <sortCondition ref="A1:A17"/>
  </sortState>
  <tableColumns count="6">
    <tableColumn id="1" xr3:uid="{6B7DF6F5-1183-4AA0-ABA3-869596992F7D}" name="Naam medewerker" dataDxfId="20"/>
    <tableColumn id="2" xr3:uid="{C3B511A1-B431-48D3-8984-FA6B4503631C}" name="Uren bon" dataDxfId="19"/>
    <tableColumn id="3" xr3:uid="{3A34F87B-2199-4B0A-8D72-100238D033AA}" name="Uren excellijst" dataDxfId="18"/>
    <tableColumn id="4" xr3:uid="{42F840A2-7CDA-4611-802A-46232890B424}" name="Waar?" dataDxfId="17"/>
    <tableColumn id="5" xr3:uid="{733E3C1B-43E6-43E9-8507-5B24394A8EBC}" name="Opmerkingen" dataDxfId="16"/>
    <tableColumn id="6" xr3:uid="{E94BDA8D-619C-498D-9A89-60D4F71D8FFD}" name="Kolom1" dataDxfId="1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18A4FB-C21A-4A42-8634-A7857E23833F}" name="Tabel17345869101112131423456710891112132345768" displayName="Tabel17345869101112131423456710891112132345768" ref="A1:F17" totalsRowShown="0" headerRowDxfId="14" dataDxfId="13" tableBorderDxfId="12">
  <autoFilter ref="A1:F17" xr:uid="{9D3775AB-F720-4F05-B302-EA6DF513C669}"/>
  <sortState xmlns:xlrd2="http://schemas.microsoft.com/office/spreadsheetml/2017/richdata2" ref="A2:F17">
    <sortCondition ref="A1:A17"/>
  </sortState>
  <tableColumns count="6">
    <tableColumn id="1" xr3:uid="{ECF12E19-F37B-45D7-A666-FFDD5716EB15}" name="Naam medewerker" dataDxfId="11"/>
    <tableColumn id="2" xr3:uid="{C1FC16A6-CC39-437D-8F55-6772FA0C0D21}" name="Uren bon" dataDxfId="10"/>
    <tableColumn id="3" xr3:uid="{CDD2B3B7-72B6-46C0-9069-62D4553BA223}" name="Uren excellijst" dataDxfId="9"/>
    <tableColumn id="4" xr3:uid="{32762B46-E954-4597-9359-36134DC9A2EA}" name="Waar?" dataDxfId="8"/>
    <tableColumn id="5" xr3:uid="{B5225C5D-CCD0-419E-9CD5-750A6A88EB83}" name="Opmerkingen" dataDxfId="7"/>
    <tableColumn id="6" xr3:uid="{2E790049-6436-42BE-8D7A-42E89F8E9FA9}" name="Kolom1" dataDxfId="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hage@vhbinfra.n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sf.shayout@mobilis.nl" TargetMode="External"/><Relationship Id="rId1" Type="http://schemas.openxmlformats.org/officeDocument/2006/relationships/hyperlink" Target="mailto:nhage@vhbinfra.nl" TargetMode="External"/><Relationship Id="rId6" Type="http://schemas.openxmlformats.org/officeDocument/2006/relationships/hyperlink" Target="mailto:davy.bijleveld@boskalis.com" TargetMode="External"/><Relationship Id="rId5" Type="http://schemas.openxmlformats.org/officeDocument/2006/relationships/hyperlink" Target="mailto:mv@bcssteel.eu" TargetMode="External"/><Relationship Id="rId4" Type="http://schemas.openxmlformats.org/officeDocument/2006/relationships/hyperlink" Target="mailto:sander.zwanepol@triaxknm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2824-7DAD-4997-A7BB-77E71BEE533B}">
  <dimension ref="A1:R38"/>
  <sheetViews>
    <sheetView tabSelected="1" zoomScale="130" zoomScaleNormal="130" workbookViewId="0">
      <selection activeCell="H41" sqref="H41"/>
    </sheetView>
  </sheetViews>
  <sheetFormatPr defaultRowHeight="15" x14ac:dyDescent="0.25"/>
  <cols>
    <col min="1" max="1" width="20.7109375" bestFit="1" customWidth="1"/>
    <col min="2" max="2" width="13.140625" bestFit="1" customWidth="1"/>
    <col min="3" max="3" width="13.140625" customWidth="1"/>
    <col min="4" max="4" width="52.42578125" bestFit="1" customWidth="1"/>
    <col min="5" max="5" width="27.5703125" bestFit="1" customWidth="1"/>
    <col min="6" max="6" width="9.7109375" bestFit="1" customWidth="1"/>
    <col min="7" max="7" width="10.42578125" bestFit="1" customWidth="1"/>
    <col min="8" max="8" width="13.140625" bestFit="1" customWidth="1"/>
    <col min="9" max="9" width="22.85546875" bestFit="1" customWidth="1"/>
    <col min="10" max="10" width="9.140625" bestFit="1" customWidth="1"/>
    <col min="11" max="11" width="15.140625" bestFit="1" customWidth="1"/>
    <col min="12" max="12" width="15.140625" customWidth="1"/>
    <col min="13" max="13" width="28.28515625" bestFit="1" customWidth="1"/>
    <col min="14" max="14" width="11.42578125" customWidth="1"/>
    <col min="15" max="15" width="12" bestFit="1" customWidth="1"/>
  </cols>
  <sheetData>
    <row r="1" spans="1:18" x14ac:dyDescent="0.25">
      <c r="A1" s="9" t="s">
        <v>28</v>
      </c>
      <c r="B1" s="9" t="s">
        <v>29</v>
      </c>
      <c r="C1" s="9" t="s">
        <v>30</v>
      </c>
      <c r="E1" s="9" t="s">
        <v>31</v>
      </c>
      <c r="F1" s="9" t="s">
        <v>32</v>
      </c>
      <c r="G1" s="9"/>
      <c r="H1" s="9" t="s">
        <v>35</v>
      </c>
      <c r="I1" s="9" t="s">
        <v>36</v>
      </c>
      <c r="J1" s="9"/>
      <c r="K1" s="9" t="s">
        <v>33</v>
      </c>
      <c r="L1" s="9" t="s">
        <v>117</v>
      </c>
      <c r="M1" s="9" t="s">
        <v>43</v>
      </c>
      <c r="N1" s="9"/>
      <c r="O1" s="9" t="s">
        <v>34</v>
      </c>
      <c r="P1" s="9" t="s">
        <v>37</v>
      </c>
    </row>
    <row r="2" spans="1:18" x14ac:dyDescent="0.25">
      <c r="A2" t="s">
        <v>22</v>
      </c>
      <c r="B2" s="6">
        <v>44426</v>
      </c>
      <c r="C2" s="6">
        <v>47483</v>
      </c>
      <c r="E2" t="s">
        <v>64</v>
      </c>
      <c r="F2" s="5">
        <v>84.25</v>
      </c>
      <c r="H2" t="s">
        <v>65</v>
      </c>
      <c r="I2" t="s">
        <v>66</v>
      </c>
      <c r="K2" t="s">
        <v>67</v>
      </c>
      <c r="O2" t="s">
        <v>45</v>
      </c>
      <c r="P2" t="s">
        <v>42</v>
      </c>
      <c r="R2" t="s">
        <v>90</v>
      </c>
    </row>
    <row r="3" spans="1:18" hidden="1" x14ac:dyDescent="0.25">
      <c r="A3" t="s">
        <v>7</v>
      </c>
      <c r="B3" s="6"/>
      <c r="C3" s="6">
        <v>45716</v>
      </c>
      <c r="E3" t="s">
        <v>86</v>
      </c>
      <c r="F3" s="5">
        <v>88.6</v>
      </c>
      <c r="H3" t="s">
        <v>27</v>
      </c>
      <c r="I3" t="s">
        <v>47</v>
      </c>
      <c r="K3" t="s">
        <v>48</v>
      </c>
      <c r="M3" s="7" t="s">
        <v>49</v>
      </c>
      <c r="O3" t="s">
        <v>45</v>
      </c>
      <c r="P3" t="s">
        <v>42</v>
      </c>
    </row>
    <row r="4" spans="1:18" hidden="1" x14ac:dyDescent="0.25">
      <c r="A4" t="s">
        <v>8</v>
      </c>
      <c r="B4" s="6">
        <v>45413</v>
      </c>
      <c r="C4" s="6">
        <v>45641</v>
      </c>
      <c r="E4" t="s">
        <v>38</v>
      </c>
      <c r="F4" s="5">
        <v>88.6</v>
      </c>
      <c r="H4" t="s">
        <v>39</v>
      </c>
      <c r="I4" t="s">
        <v>40</v>
      </c>
      <c r="M4" t="s">
        <v>44</v>
      </c>
      <c r="O4" t="s">
        <v>41</v>
      </c>
      <c r="P4" t="s">
        <v>42</v>
      </c>
    </row>
    <row r="5" spans="1:18" hidden="1" x14ac:dyDescent="0.25">
      <c r="A5" t="s">
        <v>12</v>
      </c>
      <c r="B5" s="6" t="s">
        <v>73</v>
      </c>
      <c r="C5" s="6">
        <v>45689</v>
      </c>
      <c r="E5" t="s">
        <v>74</v>
      </c>
      <c r="F5" s="5">
        <v>112.5</v>
      </c>
      <c r="H5" t="s">
        <v>10</v>
      </c>
      <c r="I5" t="s">
        <v>54</v>
      </c>
      <c r="K5" t="s">
        <v>55</v>
      </c>
      <c r="M5" t="s">
        <v>56</v>
      </c>
      <c r="O5" t="s">
        <v>45</v>
      </c>
      <c r="P5" t="s">
        <v>57</v>
      </c>
    </row>
    <row r="6" spans="1:18" hidden="1" x14ac:dyDescent="0.25">
      <c r="A6" t="s">
        <v>13</v>
      </c>
      <c r="B6" s="6"/>
      <c r="C6" s="6">
        <v>45596</v>
      </c>
      <c r="E6" s="8">
        <v>16041</v>
      </c>
      <c r="F6" s="5">
        <v>74.150000000000006</v>
      </c>
      <c r="H6" t="s">
        <v>58</v>
      </c>
      <c r="I6" t="s">
        <v>59</v>
      </c>
      <c r="O6" t="s">
        <v>45</v>
      </c>
      <c r="P6" t="s">
        <v>57</v>
      </c>
    </row>
    <row r="7" spans="1:18" hidden="1" x14ac:dyDescent="0.25">
      <c r="A7" t="s">
        <v>13</v>
      </c>
      <c r="B7" s="6">
        <v>45566</v>
      </c>
      <c r="C7" s="6">
        <v>45747</v>
      </c>
      <c r="E7" s="8" t="s">
        <v>84</v>
      </c>
      <c r="F7" s="5">
        <v>89</v>
      </c>
      <c r="H7" t="s">
        <v>85</v>
      </c>
    </row>
    <row r="8" spans="1:18" hidden="1" x14ac:dyDescent="0.25">
      <c r="A8" t="s">
        <v>25</v>
      </c>
      <c r="B8" s="6">
        <v>45677</v>
      </c>
      <c r="C8" s="6">
        <v>45935</v>
      </c>
      <c r="D8" s="11" t="s">
        <v>111</v>
      </c>
      <c r="E8" t="s">
        <v>94</v>
      </c>
      <c r="F8" s="5">
        <v>114.6</v>
      </c>
      <c r="H8" t="s">
        <v>107</v>
      </c>
      <c r="I8" t="s">
        <v>96</v>
      </c>
      <c r="K8" t="s">
        <v>48</v>
      </c>
    </row>
    <row r="9" spans="1:18" x14ac:dyDescent="0.25">
      <c r="A9" t="s">
        <v>110</v>
      </c>
      <c r="B9" s="6">
        <v>45936</v>
      </c>
      <c r="C9" s="6">
        <v>46145</v>
      </c>
      <c r="D9" s="11" t="s">
        <v>141</v>
      </c>
      <c r="E9" t="s">
        <v>94</v>
      </c>
      <c r="F9" s="5">
        <v>114.6</v>
      </c>
      <c r="H9" t="s">
        <v>27</v>
      </c>
      <c r="I9" t="s">
        <v>131</v>
      </c>
      <c r="K9" t="s">
        <v>48</v>
      </c>
      <c r="L9" t="s">
        <v>116</v>
      </c>
    </row>
    <row r="10" spans="1:18" x14ac:dyDescent="0.25">
      <c r="A10" t="s">
        <v>110</v>
      </c>
      <c r="B10" s="6">
        <v>46084</v>
      </c>
      <c r="C10" s="6">
        <v>46295</v>
      </c>
      <c r="D10" s="11" t="s">
        <v>144</v>
      </c>
      <c r="E10" s="9" t="s">
        <v>128</v>
      </c>
      <c r="F10" s="5">
        <v>127.5</v>
      </c>
      <c r="H10" t="s">
        <v>127</v>
      </c>
      <c r="I10" t="s">
        <v>129</v>
      </c>
    </row>
    <row r="11" spans="1:18" x14ac:dyDescent="0.25">
      <c r="A11" t="s">
        <v>14</v>
      </c>
      <c r="B11" s="6"/>
      <c r="C11" s="6">
        <v>46304</v>
      </c>
      <c r="E11" t="s">
        <v>61</v>
      </c>
      <c r="F11" s="5">
        <v>81.78</v>
      </c>
      <c r="H11" t="s">
        <v>10</v>
      </c>
      <c r="I11" t="s">
        <v>54</v>
      </c>
      <c r="K11" t="s">
        <v>55</v>
      </c>
      <c r="M11" t="s">
        <v>56</v>
      </c>
      <c r="O11" t="s">
        <v>45</v>
      </c>
      <c r="P11" t="s">
        <v>57</v>
      </c>
    </row>
    <row r="12" spans="1:18" x14ac:dyDescent="0.25">
      <c r="A12" t="s">
        <v>14</v>
      </c>
      <c r="B12" s="6">
        <v>46307</v>
      </c>
      <c r="C12" s="6"/>
      <c r="D12" t="s">
        <v>142</v>
      </c>
      <c r="E12" t="s">
        <v>94</v>
      </c>
      <c r="F12" s="5">
        <v>92.6</v>
      </c>
      <c r="H12" t="s">
        <v>27</v>
      </c>
      <c r="I12" t="s">
        <v>145</v>
      </c>
    </row>
    <row r="13" spans="1:18" hidden="1" x14ac:dyDescent="0.25">
      <c r="A13" t="s">
        <v>92</v>
      </c>
      <c r="B13" s="6">
        <v>45663</v>
      </c>
      <c r="C13" s="6">
        <v>46387</v>
      </c>
      <c r="F13" s="5">
        <v>84.98</v>
      </c>
      <c r="H13" t="s">
        <v>10</v>
      </c>
      <c r="I13" t="s">
        <v>97</v>
      </c>
    </row>
    <row r="14" spans="1:18" hidden="1" x14ac:dyDescent="0.25">
      <c r="A14" t="s">
        <v>26</v>
      </c>
      <c r="B14" s="6">
        <v>45597</v>
      </c>
      <c r="C14" s="6">
        <v>45900</v>
      </c>
      <c r="D14" t="s">
        <v>83</v>
      </c>
      <c r="E14" t="s">
        <v>77</v>
      </c>
      <c r="F14" s="5">
        <v>89.92</v>
      </c>
      <c r="H14" t="s">
        <v>78</v>
      </c>
      <c r="I14" t="s">
        <v>79</v>
      </c>
      <c r="K14" t="s">
        <v>80</v>
      </c>
      <c r="M14" s="7" t="s">
        <v>81</v>
      </c>
    </row>
    <row r="15" spans="1:18" hidden="1" x14ac:dyDescent="0.25">
      <c r="A15" t="s">
        <v>6</v>
      </c>
      <c r="B15" s="6">
        <v>45471</v>
      </c>
      <c r="C15" s="6">
        <v>45960</v>
      </c>
      <c r="E15" t="s">
        <v>68</v>
      </c>
      <c r="F15" s="5">
        <f>72.5*1.035</f>
        <v>75.037499999999994</v>
      </c>
      <c r="H15" t="s">
        <v>69</v>
      </c>
      <c r="I15" t="s">
        <v>70</v>
      </c>
      <c r="K15" t="s">
        <v>71</v>
      </c>
      <c r="M15" s="7" t="s">
        <v>72</v>
      </c>
      <c r="O15" t="s">
        <v>45</v>
      </c>
      <c r="P15" t="s">
        <v>42</v>
      </c>
    </row>
    <row r="16" spans="1:18" hidden="1" x14ac:dyDescent="0.25">
      <c r="A16" t="s">
        <v>6</v>
      </c>
      <c r="B16" s="6">
        <v>45964</v>
      </c>
      <c r="C16" s="6">
        <v>46054</v>
      </c>
      <c r="E16" t="s">
        <v>124</v>
      </c>
      <c r="F16" s="5">
        <v>92.6</v>
      </c>
      <c r="G16" t="s">
        <v>123</v>
      </c>
      <c r="H16" t="s">
        <v>10</v>
      </c>
      <c r="I16" t="s">
        <v>91</v>
      </c>
      <c r="M16" s="7"/>
    </row>
    <row r="17" spans="1:18" x14ac:dyDescent="0.25">
      <c r="A17" t="s">
        <v>6</v>
      </c>
      <c r="B17" s="6" t="s">
        <v>122</v>
      </c>
      <c r="C17" s="6">
        <v>46267</v>
      </c>
      <c r="D17" t="s">
        <v>143</v>
      </c>
      <c r="E17" t="s">
        <v>125</v>
      </c>
      <c r="F17" s="5">
        <v>91.2</v>
      </c>
      <c r="H17" t="s">
        <v>65</v>
      </c>
      <c r="I17" t="s">
        <v>100</v>
      </c>
      <c r="M17" s="7"/>
    </row>
    <row r="18" spans="1:18" x14ac:dyDescent="0.25">
      <c r="A18" t="s">
        <v>20</v>
      </c>
      <c r="B18" s="6"/>
      <c r="C18" s="6" t="s">
        <v>106</v>
      </c>
      <c r="E18" t="s">
        <v>61</v>
      </c>
      <c r="F18" s="5">
        <v>86</v>
      </c>
      <c r="H18" t="s">
        <v>10</v>
      </c>
      <c r="I18" t="s">
        <v>54</v>
      </c>
      <c r="K18" t="s">
        <v>55</v>
      </c>
      <c r="M18" t="s">
        <v>56</v>
      </c>
      <c r="O18" t="s">
        <v>45</v>
      </c>
      <c r="P18" t="s">
        <v>57</v>
      </c>
    </row>
    <row r="19" spans="1:18" hidden="1" x14ac:dyDescent="0.25">
      <c r="A19" t="s">
        <v>20</v>
      </c>
      <c r="B19" s="6"/>
      <c r="C19" s="6">
        <v>45471</v>
      </c>
      <c r="E19" t="s">
        <v>46</v>
      </c>
      <c r="F19" s="5">
        <v>88.6</v>
      </c>
      <c r="H19" t="s">
        <v>27</v>
      </c>
      <c r="I19" t="s">
        <v>47</v>
      </c>
      <c r="K19" t="s">
        <v>48</v>
      </c>
      <c r="M19" s="7" t="s">
        <v>49</v>
      </c>
      <c r="O19" t="s">
        <v>45</v>
      </c>
      <c r="P19" t="s">
        <v>42</v>
      </c>
    </row>
    <row r="20" spans="1:18" hidden="1" x14ac:dyDescent="0.25">
      <c r="A20" t="s">
        <v>87</v>
      </c>
      <c r="B20" s="6">
        <v>45607</v>
      </c>
      <c r="C20" s="6">
        <v>45905</v>
      </c>
      <c r="F20" s="5">
        <v>88.11</v>
      </c>
      <c r="H20" t="s">
        <v>10</v>
      </c>
      <c r="I20" t="s">
        <v>54</v>
      </c>
      <c r="K20" t="s">
        <v>55</v>
      </c>
    </row>
    <row r="21" spans="1:18" hidden="1" x14ac:dyDescent="0.25">
      <c r="A21" t="s">
        <v>24</v>
      </c>
      <c r="B21" s="6">
        <v>45476</v>
      </c>
      <c r="C21" s="6">
        <v>45716</v>
      </c>
      <c r="E21" t="s">
        <v>63</v>
      </c>
      <c r="F21" s="5">
        <v>92.96</v>
      </c>
      <c r="H21" t="s">
        <v>75</v>
      </c>
      <c r="I21" t="s">
        <v>76</v>
      </c>
      <c r="K21" t="s">
        <v>88</v>
      </c>
      <c r="M21" t="s">
        <v>89</v>
      </c>
      <c r="O21" t="s">
        <v>45</v>
      </c>
      <c r="P21" t="s">
        <v>42</v>
      </c>
      <c r="R21" t="s">
        <v>90</v>
      </c>
    </row>
    <row r="22" spans="1:18" x14ac:dyDescent="0.25">
      <c r="A22" t="s">
        <v>9</v>
      </c>
      <c r="B22" s="6">
        <v>46023</v>
      </c>
      <c r="C22" s="6" t="s">
        <v>106</v>
      </c>
      <c r="D22" t="s">
        <v>146</v>
      </c>
      <c r="E22" t="s">
        <v>132</v>
      </c>
      <c r="F22" s="5">
        <v>84.5</v>
      </c>
      <c r="H22" t="s">
        <v>133</v>
      </c>
      <c r="I22" t="s">
        <v>134</v>
      </c>
    </row>
    <row r="23" spans="1:18" hidden="1" x14ac:dyDescent="0.25">
      <c r="A23" t="s">
        <v>9</v>
      </c>
      <c r="B23" s="6">
        <v>44942</v>
      </c>
      <c r="C23" s="6">
        <v>46022</v>
      </c>
      <c r="E23" t="s">
        <v>50</v>
      </c>
      <c r="F23" s="5">
        <v>80.61</v>
      </c>
      <c r="H23" t="s">
        <v>10</v>
      </c>
      <c r="I23" t="s">
        <v>51</v>
      </c>
      <c r="K23" t="s">
        <v>52</v>
      </c>
      <c r="M23" s="7" t="s">
        <v>53</v>
      </c>
      <c r="O23" t="s">
        <v>41</v>
      </c>
      <c r="P23" t="s">
        <v>42</v>
      </c>
    </row>
    <row r="24" spans="1:18" hidden="1" x14ac:dyDescent="0.25">
      <c r="A24" t="s">
        <v>24</v>
      </c>
      <c r="B24" s="6">
        <v>45644</v>
      </c>
      <c r="C24" s="6">
        <v>45739</v>
      </c>
      <c r="E24" t="s">
        <v>86</v>
      </c>
      <c r="F24" s="5">
        <v>92.6</v>
      </c>
      <c r="H24" t="s">
        <v>27</v>
      </c>
      <c r="I24" t="s">
        <v>95</v>
      </c>
      <c r="K24" t="s">
        <v>48</v>
      </c>
    </row>
    <row r="25" spans="1:18" hidden="1" x14ac:dyDescent="0.25">
      <c r="A25" t="s">
        <v>25</v>
      </c>
      <c r="B25" s="6">
        <v>45523</v>
      </c>
      <c r="C25" s="6">
        <v>45689</v>
      </c>
      <c r="E25" t="s">
        <v>74</v>
      </c>
      <c r="F25" s="5">
        <v>112.5</v>
      </c>
      <c r="H25" t="s">
        <v>93</v>
      </c>
      <c r="I25" t="s">
        <v>54</v>
      </c>
      <c r="K25" t="s">
        <v>55</v>
      </c>
      <c r="M25" t="s">
        <v>56</v>
      </c>
      <c r="O25" t="s">
        <v>45</v>
      </c>
      <c r="P25" t="s">
        <v>42</v>
      </c>
    </row>
    <row r="26" spans="1:18" x14ac:dyDescent="0.25">
      <c r="A26" t="s">
        <v>16</v>
      </c>
      <c r="B26" s="6"/>
      <c r="C26" s="6" t="s">
        <v>106</v>
      </c>
      <c r="E26" t="s">
        <v>61</v>
      </c>
      <c r="F26" s="5">
        <v>88.11</v>
      </c>
      <c r="H26" t="s">
        <v>10</v>
      </c>
      <c r="I26" t="s">
        <v>54</v>
      </c>
      <c r="K26" t="s">
        <v>55</v>
      </c>
      <c r="M26" t="s">
        <v>56</v>
      </c>
      <c r="O26" t="s">
        <v>45</v>
      </c>
      <c r="P26" t="s">
        <v>57</v>
      </c>
    </row>
    <row r="27" spans="1:18" ht="15.75" hidden="1" customHeight="1" x14ac:dyDescent="0.25">
      <c r="A27" t="s">
        <v>26</v>
      </c>
      <c r="B27" s="6">
        <v>45327</v>
      </c>
      <c r="C27" s="6">
        <v>45870</v>
      </c>
      <c r="D27" t="s">
        <v>82</v>
      </c>
      <c r="E27" t="s">
        <v>62</v>
      </c>
      <c r="F27" s="5">
        <v>91.66</v>
      </c>
      <c r="H27" t="s">
        <v>10</v>
      </c>
      <c r="I27" t="s">
        <v>60</v>
      </c>
      <c r="K27" t="s">
        <v>55</v>
      </c>
      <c r="M27" t="s">
        <v>56</v>
      </c>
      <c r="O27" t="s">
        <v>45</v>
      </c>
      <c r="P27" t="s">
        <v>42</v>
      </c>
    </row>
    <row r="28" spans="1:18" ht="15.75" customHeight="1" x14ac:dyDescent="0.25">
      <c r="A28" t="s">
        <v>24</v>
      </c>
      <c r="B28" s="6">
        <v>45352</v>
      </c>
      <c r="C28" s="6">
        <v>46326</v>
      </c>
      <c r="E28" t="s">
        <v>86</v>
      </c>
      <c r="F28" s="5">
        <v>92.6</v>
      </c>
      <c r="H28" t="s">
        <v>27</v>
      </c>
      <c r="I28" t="s">
        <v>91</v>
      </c>
      <c r="K28" t="s">
        <v>48</v>
      </c>
    </row>
    <row r="29" spans="1:18" ht="15.75" customHeight="1" x14ac:dyDescent="0.25">
      <c r="A29" t="s">
        <v>24</v>
      </c>
      <c r="B29" s="6">
        <v>46327</v>
      </c>
      <c r="C29" s="6"/>
      <c r="D29" t="s">
        <v>142</v>
      </c>
      <c r="E29" t="s">
        <v>86</v>
      </c>
      <c r="F29" s="5">
        <v>92.6</v>
      </c>
      <c r="H29" t="s">
        <v>27</v>
      </c>
      <c r="I29" t="s">
        <v>145</v>
      </c>
    </row>
    <row r="30" spans="1:18" x14ac:dyDescent="0.25">
      <c r="A30" t="s">
        <v>17</v>
      </c>
      <c r="B30" s="6"/>
      <c r="C30" s="6" t="s">
        <v>106</v>
      </c>
      <c r="E30" t="s">
        <v>61</v>
      </c>
      <c r="F30" s="5">
        <v>108.15</v>
      </c>
      <c r="H30" t="s">
        <v>10</v>
      </c>
      <c r="I30" t="s">
        <v>54</v>
      </c>
      <c r="K30" t="s">
        <v>55</v>
      </c>
      <c r="M30" t="s">
        <v>56</v>
      </c>
      <c r="O30" t="s">
        <v>45</v>
      </c>
      <c r="P30" t="s">
        <v>57</v>
      </c>
    </row>
    <row r="31" spans="1:18" hidden="1" x14ac:dyDescent="0.25">
      <c r="A31" t="s">
        <v>18</v>
      </c>
      <c r="B31" s="6"/>
      <c r="C31" s="6">
        <v>46022</v>
      </c>
      <c r="E31" t="s">
        <v>61</v>
      </c>
      <c r="F31" s="5">
        <v>88.11</v>
      </c>
      <c r="H31" t="s">
        <v>10</v>
      </c>
      <c r="I31" t="s">
        <v>54</v>
      </c>
      <c r="K31" t="s">
        <v>55</v>
      </c>
      <c r="M31" t="s">
        <v>56</v>
      </c>
      <c r="O31" t="s">
        <v>45</v>
      </c>
      <c r="P31" t="s">
        <v>57</v>
      </c>
    </row>
    <row r="32" spans="1:18" x14ac:dyDescent="0.25">
      <c r="A32" t="s">
        <v>17</v>
      </c>
      <c r="B32" s="6"/>
      <c r="C32" s="6" t="s">
        <v>106</v>
      </c>
      <c r="F32" s="5"/>
    </row>
    <row r="33" spans="1:16" x14ac:dyDescent="0.25">
      <c r="A33" t="s">
        <v>98</v>
      </c>
      <c r="B33" s="6">
        <v>45719</v>
      </c>
      <c r="C33" t="s">
        <v>106</v>
      </c>
      <c r="D33" t="s">
        <v>148</v>
      </c>
      <c r="E33" t="s">
        <v>105</v>
      </c>
      <c r="F33" s="5">
        <v>114.85</v>
      </c>
      <c r="H33" t="s">
        <v>99</v>
      </c>
      <c r="I33" t="s">
        <v>100</v>
      </c>
    </row>
    <row r="34" spans="1:16" x14ac:dyDescent="0.25">
      <c r="A34" t="s">
        <v>98</v>
      </c>
      <c r="B34" s="6">
        <v>45901</v>
      </c>
      <c r="C34" t="s">
        <v>120</v>
      </c>
      <c r="D34" t="s">
        <v>147</v>
      </c>
      <c r="E34" t="s">
        <v>121</v>
      </c>
      <c r="F34" s="5">
        <v>115</v>
      </c>
      <c r="H34" t="s">
        <v>112</v>
      </c>
      <c r="I34" t="s">
        <v>114</v>
      </c>
      <c r="K34" t="s">
        <v>113</v>
      </c>
      <c r="M34" s="7" t="s">
        <v>119</v>
      </c>
    </row>
    <row r="35" spans="1:16" x14ac:dyDescent="0.25">
      <c r="A35" t="s">
        <v>102</v>
      </c>
      <c r="B35" s="6">
        <v>45729</v>
      </c>
      <c r="C35" s="6">
        <v>46327</v>
      </c>
      <c r="F35" s="5">
        <v>115</v>
      </c>
      <c r="H35" t="s">
        <v>65</v>
      </c>
      <c r="I35" t="s">
        <v>100</v>
      </c>
    </row>
    <row r="36" spans="1:16" x14ac:dyDescent="0.25">
      <c r="A36" t="s">
        <v>19</v>
      </c>
      <c r="B36" s="6"/>
      <c r="C36" s="6" t="s">
        <v>106</v>
      </c>
      <c r="E36" t="s">
        <v>61</v>
      </c>
      <c r="F36" s="5">
        <v>108.15</v>
      </c>
      <c r="H36" t="s">
        <v>10</v>
      </c>
      <c r="I36" t="s">
        <v>54</v>
      </c>
      <c r="K36" t="s">
        <v>55</v>
      </c>
      <c r="M36" t="s">
        <v>56</v>
      </c>
      <c r="O36" t="s">
        <v>45</v>
      </c>
      <c r="P36" t="s">
        <v>57</v>
      </c>
    </row>
    <row r="37" spans="1:16" hidden="1" x14ac:dyDescent="0.25">
      <c r="A37" t="s">
        <v>136</v>
      </c>
      <c r="B37" s="12">
        <v>46119</v>
      </c>
      <c r="C37" s="6">
        <v>46274</v>
      </c>
    </row>
    <row r="38" spans="1:16" x14ac:dyDescent="0.25">
      <c r="A38" t="s">
        <v>140</v>
      </c>
      <c r="E38" t="s">
        <v>94</v>
      </c>
      <c r="F38" s="5">
        <v>114.6</v>
      </c>
      <c r="H38" t="s">
        <v>27</v>
      </c>
      <c r="I38" t="s">
        <v>149</v>
      </c>
    </row>
  </sheetData>
  <autoFilter ref="A1:P1" xr:uid="{B8292824-7DAD-4997-A7BB-77E71BEE533B}">
    <sortState xmlns:xlrd2="http://schemas.microsoft.com/office/spreadsheetml/2017/richdata2" ref="A2:P32">
      <sortCondition ref="A1"/>
    </sortState>
  </autoFilter>
  <conditionalFormatting sqref="C2:C32">
    <cfRule type="expression" dxfId="5" priority="1">
      <formula>TODAY() &gt; (C2 - 14)</formula>
    </cfRule>
    <cfRule type="expression" dxfId="4" priority="2">
      <formula>AND(TODAY() &gt;= (C2 - 45), TODAY() &lt;= (C2 - 14))</formula>
    </cfRule>
    <cfRule type="expression" dxfId="3" priority="3">
      <formula>TODAY() &lt; (C2 - 45)</formula>
    </cfRule>
  </conditionalFormatting>
  <conditionalFormatting sqref="C35:C36">
    <cfRule type="expression" dxfId="2" priority="13">
      <formula>TODAY() &gt; (C35 - 14)</formula>
    </cfRule>
    <cfRule type="expression" dxfId="1" priority="14">
      <formula>AND(TODAY() &gt;= (C35 - 45), TODAY() &lt;= (C35 - 14))</formula>
    </cfRule>
    <cfRule type="expression" dxfId="0" priority="15">
      <formula>TODAY() &lt; (C35 - 45)</formula>
    </cfRule>
  </conditionalFormatting>
  <hyperlinks>
    <hyperlink ref="M3" r:id="rId1" display="mailto:nhage@vhbinfra.nl" xr:uid="{3858BC54-5308-4DA8-8550-4460829BEDB9}"/>
    <hyperlink ref="M23" r:id="rId2" xr:uid="{3D955997-68B4-43BA-A736-A098F83ADD47}"/>
    <hyperlink ref="M19" r:id="rId3" display="mailto:nhage@vhbinfra.nl" xr:uid="{927F0474-BDD7-426D-AE5A-BDDDF83AE8EA}"/>
    <hyperlink ref="M14" r:id="rId4" xr:uid="{AA27C1C0-2FEE-4600-9ADA-6CFCD260DA9F}"/>
    <hyperlink ref="M15" r:id="rId5" xr:uid="{F7F01A3C-AFF5-42E7-A934-295942512885}"/>
    <hyperlink ref="M34" r:id="rId6" xr:uid="{D2CFDB79-AEDF-4DE1-B9AB-A3228077D5AA}"/>
  </hyperlinks>
  <pageMargins left="0.7" right="0.7" top="0.75" bottom="0.75" header="0.3" footer="0.3"/>
  <pageSetup paperSize="9" orientation="portrait" horizontalDpi="0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720C-E814-4FB5-8712-AB3AC0C01C98}">
  <dimension ref="A1:F21"/>
  <sheetViews>
    <sheetView workbookViewId="0">
      <selection activeCell="D6" sqref="D6"/>
    </sheetView>
  </sheetViews>
  <sheetFormatPr defaultRowHeight="15" x14ac:dyDescent="0.25"/>
  <cols>
    <col min="1" max="1" width="27.7109375" customWidth="1"/>
    <col min="4" max="4" width="26.7109375" customWidth="1"/>
    <col min="5" max="5" width="20.28515625" customWidth="1"/>
    <col min="6" max="6" width="46.57031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14" t="s">
        <v>12</v>
      </c>
      <c r="B3" s="3"/>
      <c r="C3" s="3"/>
      <c r="D3" s="3" t="s">
        <v>109</v>
      </c>
      <c r="E3" s="3"/>
      <c r="F3" s="3"/>
    </row>
    <row r="4" spans="1:6" x14ac:dyDescent="0.25">
      <c r="A4" s="3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14" t="s">
        <v>25</v>
      </c>
      <c r="B5" s="3"/>
      <c r="C5" s="3"/>
      <c r="D5" s="3" t="s">
        <v>108</v>
      </c>
      <c r="E5" s="3"/>
      <c r="F5" s="3"/>
    </row>
    <row r="6" spans="1:6" x14ac:dyDescent="0.25">
      <c r="A6" s="14" t="s">
        <v>25</v>
      </c>
      <c r="B6" s="3"/>
      <c r="C6" s="3"/>
      <c r="D6" s="3" t="s">
        <v>115</v>
      </c>
      <c r="E6" s="3"/>
      <c r="F6" s="3"/>
    </row>
    <row r="7" spans="1:6" x14ac:dyDescent="0.25">
      <c r="A7" s="14" t="s">
        <v>14</v>
      </c>
      <c r="B7" s="3"/>
      <c r="C7" s="3"/>
      <c r="D7" s="3" t="s">
        <v>15</v>
      </c>
      <c r="E7" s="3"/>
      <c r="F7" s="3"/>
    </row>
    <row r="8" spans="1:6" x14ac:dyDescent="0.25">
      <c r="A8" s="16" t="s">
        <v>104</v>
      </c>
      <c r="B8" s="3"/>
      <c r="C8" s="3"/>
      <c r="D8" s="3" t="s">
        <v>10</v>
      </c>
      <c r="E8" s="3" t="s">
        <v>137</v>
      </c>
      <c r="F8" s="3"/>
    </row>
    <row r="9" spans="1:6" ht="15.75" x14ac:dyDescent="0.25">
      <c r="A9" s="13" t="s">
        <v>6</v>
      </c>
      <c r="B9" s="3"/>
      <c r="C9" s="3"/>
      <c r="D9" s="3" t="s">
        <v>103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/>
      <c r="F10" s="3"/>
    </row>
    <row r="11" spans="1:6" x14ac:dyDescent="0.25">
      <c r="A11" s="14" t="s">
        <v>9</v>
      </c>
      <c r="B11" s="3"/>
      <c r="C11" s="3"/>
      <c r="D11" s="3" t="s">
        <v>101</v>
      </c>
      <c r="E11" s="3"/>
      <c r="F11" s="3" t="s">
        <v>11</v>
      </c>
    </row>
    <row r="12" spans="1:6" x14ac:dyDescent="0.25">
      <c r="A12" s="15" t="s">
        <v>16</v>
      </c>
      <c r="B12" s="3"/>
      <c r="C12" s="3"/>
      <c r="D12" s="3" t="s">
        <v>15</v>
      </c>
      <c r="E12" s="3" t="s">
        <v>126</v>
      </c>
      <c r="F12" s="3"/>
    </row>
    <row r="13" spans="1:6" x14ac:dyDescent="0.25">
      <c r="A13" s="14" t="s">
        <v>24</v>
      </c>
      <c r="B13" s="3"/>
      <c r="C13" s="3"/>
      <c r="D13" s="3" t="s">
        <v>103</v>
      </c>
      <c r="E13" s="3"/>
      <c r="F13" s="3"/>
    </row>
    <row r="14" spans="1:6" x14ac:dyDescent="0.25">
      <c r="A14" s="14" t="s">
        <v>17</v>
      </c>
      <c r="B14" s="3"/>
      <c r="C14" s="3"/>
      <c r="D14" s="3" t="s">
        <v>15</v>
      </c>
      <c r="E14" s="3" t="s">
        <v>126</v>
      </c>
      <c r="F14" s="3"/>
    </row>
    <row r="15" spans="1:6" x14ac:dyDescent="0.25">
      <c r="A15" s="14" t="s">
        <v>102</v>
      </c>
      <c r="B15" s="3"/>
      <c r="C15" s="3"/>
      <c r="D15" s="3" t="s">
        <v>23</v>
      </c>
      <c r="E15" s="3"/>
      <c r="F15" s="3"/>
    </row>
    <row r="16" spans="1:6" x14ac:dyDescent="0.25">
      <c r="A16" s="14" t="s">
        <v>19</v>
      </c>
      <c r="B16" s="3"/>
      <c r="C16" s="3"/>
      <c r="D16" s="3" t="s">
        <v>15</v>
      </c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2">
        <v>46023</v>
      </c>
      <c r="B19" s="2">
        <f>A19+27</f>
        <v>46050</v>
      </c>
      <c r="C19" s="12"/>
    </row>
    <row r="20" spans="1:6" x14ac:dyDescent="0.25">
      <c r="A20" s="1"/>
      <c r="B20" s="1"/>
    </row>
    <row r="21" spans="1:6" x14ac:dyDescent="0.25">
      <c r="A21" s="1">
        <v>1</v>
      </c>
      <c r="B21" s="1">
        <f>A21+3</f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B322-527E-4F71-A2C3-AB668A7C0F7C}">
  <dimension ref="A1:F22"/>
  <sheetViews>
    <sheetView workbookViewId="0">
      <selection activeCell="A6" sqref="A6"/>
    </sheetView>
  </sheetViews>
  <sheetFormatPr defaultRowHeight="15" x14ac:dyDescent="0.25"/>
  <cols>
    <col min="1" max="1" width="27.7109375" customWidth="1"/>
    <col min="4" max="4" width="26.7109375" customWidth="1"/>
    <col min="5" max="5" width="20.28515625" customWidth="1"/>
    <col min="6" max="6" width="46.57031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14" t="s">
        <v>12</v>
      </c>
      <c r="B3" s="3"/>
      <c r="C3" s="3"/>
      <c r="D3" s="3" t="s">
        <v>109</v>
      </c>
      <c r="E3" s="3"/>
      <c r="F3" s="3"/>
    </row>
    <row r="4" spans="1:6" x14ac:dyDescent="0.25">
      <c r="A4" s="14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14" t="s">
        <v>25</v>
      </c>
      <c r="B5" s="3"/>
      <c r="C5" s="3"/>
      <c r="D5" s="3" t="s">
        <v>108</v>
      </c>
      <c r="E5" s="3"/>
      <c r="F5" s="3"/>
    </row>
    <row r="6" spans="1:6" x14ac:dyDescent="0.25">
      <c r="A6" s="3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14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/>
      <c r="C8" s="3"/>
      <c r="D8" s="3" t="s">
        <v>15</v>
      </c>
      <c r="E8" s="3"/>
      <c r="F8" s="3"/>
    </row>
    <row r="9" spans="1:6" x14ac:dyDescent="0.25">
      <c r="A9" s="14" t="s">
        <v>104</v>
      </c>
      <c r="B9" s="3"/>
      <c r="C9" s="3"/>
      <c r="D9" s="3" t="s">
        <v>10</v>
      </c>
      <c r="E9" s="3"/>
      <c r="F9" s="3"/>
    </row>
    <row r="10" spans="1:6" ht="15.75" x14ac:dyDescent="0.25">
      <c r="A10" s="13" t="s">
        <v>6</v>
      </c>
      <c r="B10" s="3"/>
      <c r="C10" s="3"/>
      <c r="D10" s="3" t="s">
        <v>103</v>
      </c>
      <c r="E10" s="3"/>
      <c r="F10" s="4"/>
    </row>
    <row r="11" spans="1:6" x14ac:dyDescent="0.25">
      <c r="A11" s="14" t="s">
        <v>20</v>
      </c>
      <c r="B11" s="3"/>
      <c r="C11" s="3"/>
      <c r="D11" s="3" t="s">
        <v>21</v>
      </c>
      <c r="E11" s="3"/>
      <c r="F11" s="3"/>
    </row>
    <row r="12" spans="1:6" x14ac:dyDescent="0.25">
      <c r="A12" s="14" t="s">
        <v>9</v>
      </c>
      <c r="B12" s="3"/>
      <c r="C12" s="3"/>
      <c r="D12" s="3" t="s">
        <v>101</v>
      </c>
      <c r="E12" s="3"/>
      <c r="F12" s="3" t="s">
        <v>11</v>
      </c>
    </row>
    <row r="13" spans="1:6" x14ac:dyDescent="0.25">
      <c r="A13" s="15" t="s">
        <v>16</v>
      </c>
      <c r="B13" s="3"/>
      <c r="C13" s="3"/>
      <c r="D13" s="3" t="s">
        <v>15</v>
      </c>
      <c r="E13" s="3" t="s">
        <v>126</v>
      </c>
      <c r="F13" s="3"/>
    </row>
    <row r="14" spans="1:6" x14ac:dyDescent="0.25">
      <c r="A14" s="14" t="s">
        <v>24</v>
      </c>
      <c r="B14" s="3"/>
      <c r="C14" s="3"/>
      <c r="D14" s="3" t="s">
        <v>103</v>
      </c>
      <c r="E14" s="3"/>
      <c r="F14" s="3"/>
    </row>
    <row r="15" spans="1:6" x14ac:dyDescent="0.25">
      <c r="A15" s="14" t="s">
        <v>17</v>
      </c>
      <c r="B15" s="3"/>
      <c r="C15" s="3"/>
      <c r="D15" s="3" t="s">
        <v>15</v>
      </c>
      <c r="E15" s="3" t="s">
        <v>126</v>
      </c>
      <c r="F15" s="3"/>
    </row>
    <row r="16" spans="1:6" x14ac:dyDescent="0.25">
      <c r="A16" s="14" t="s">
        <v>102</v>
      </c>
      <c r="B16" s="3"/>
      <c r="C16" s="3"/>
      <c r="D16" s="3" t="s">
        <v>23</v>
      </c>
      <c r="E16" s="3"/>
      <c r="F16" s="3"/>
    </row>
    <row r="17" spans="1:6" x14ac:dyDescent="0.25">
      <c r="A17" s="14" t="s">
        <v>19</v>
      </c>
      <c r="B17" s="3"/>
      <c r="C17" s="3"/>
      <c r="D17" s="3" t="s">
        <v>15</v>
      </c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2">
        <v>46051</v>
      </c>
      <c r="B20" s="2">
        <f>A20+27</f>
        <v>46078</v>
      </c>
      <c r="C20" s="12"/>
    </row>
    <row r="21" spans="1:6" x14ac:dyDescent="0.25">
      <c r="A21" s="1"/>
      <c r="B21" s="1"/>
    </row>
    <row r="22" spans="1:6" x14ac:dyDescent="0.25">
      <c r="A22" s="1">
        <v>5</v>
      </c>
      <c r="B22" s="1">
        <f>A22+3</f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ACF2-ECE1-4D34-B1CB-EBE72DAD01CD}">
  <dimension ref="A1:F21"/>
  <sheetViews>
    <sheetView workbookViewId="0">
      <selection activeCell="A4" sqref="A4"/>
    </sheetView>
  </sheetViews>
  <sheetFormatPr defaultRowHeight="15" x14ac:dyDescent="0.25"/>
  <cols>
    <col min="1" max="1" width="27.7109375" customWidth="1"/>
    <col min="3" max="3" width="17.28515625" customWidth="1"/>
    <col min="4" max="4" width="26.7109375" customWidth="1"/>
    <col min="5" max="5" width="20.28515625" customWidth="1"/>
    <col min="6" max="6" width="46.57031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14" t="s">
        <v>12</v>
      </c>
      <c r="B3" s="3"/>
      <c r="C3" s="3"/>
      <c r="D3" s="3" t="s">
        <v>109</v>
      </c>
      <c r="E3" s="3"/>
      <c r="F3" s="3"/>
    </row>
    <row r="4" spans="1:6" x14ac:dyDescent="0.25">
      <c r="A4" s="14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14" t="s">
        <v>25</v>
      </c>
      <c r="B5" s="3"/>
      <c r="C5" s="3"/>
      <c r="D5" s="3" t="s">
        <v>108</v>
      </c>
      <c r="E5" s="3"/>
      <c r="F5" s="3"/>
    </row>
    <row r="6" spans="1:6" x14ac:dyDescent="0.25">
      <c r="A6" s="14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14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 t="s">
        <v>135</v>
      </c>
      <c r="C8" s="3"/>
      <c r="D8" s="3" t="s">
        <v>15</v>
      </c>
      <c r="E8" s="3"/>
      <c r="F8" s="3"/>
    </row>
    <row r="9" spans="1:6" ht="15.75" x14ac:dyDescent="0.25">
      <c r="A9" s="13" t="s">
        <v>6</v>
      </c>
      <c r="B9" s="3"/>
      <c r="C9" s="3"/>
      <c r="D9" s="3" t="s">
        <v>103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/>
      <c r="F10" s="3"/>
    </row>
    <row r="11" spans="1:6" x14ac:dyDescent="0.25">
      <c r="A11" s="14" t="s">
        <v>9</v>
      </c>
      <c r="B11" s="3"/>
      <c r="C11" s="3"/>
      <c r="D11" s="3" t="s">
        <v>101</v>
      </c>
      <c r="E11" s="3"/>
      <c r="F11" s="3" t="s">
        <v>11</v>
      </c>
    </row>
    <row r="12" spans="1:6" x14ac:dyDescent="0.25">
      <c r="A12" s="15" t="s">
        <v>16</v>
      </c>
      <c r="B12" s="3" t="s">
        <v>135</v>
      </c>
      <c r="C12" s="3"/>
      <c r="D12" s="3" t="s">
        <v>15</v>
      </c>
      <c r="E12" s="3"/>
      <c r="F12" s="3"/>
    </row>
    <row r="13" spans="1:6" x14ac:dyDescent="0.25">
      <c r="A13" s="14" t="s">
        <v>24</v>
      </c>
      <c r="B13" s="3"/>
      <c r="C13" s="3"/>
      <c r="D13" s="3" t="s">
        <v>103</v>
      </c>
      <c r="E13" s="3"/>
      <c r="F13" s="3"/>
    </row>
    <row r="14" spans="1:6" x14ac:dyDescent="0.25">
      <c r="A14" s="14" t="s">
        <v>17</v>
      </c>
      <c r="B14" s="3" t="s">
        <v>135</v>
      </c>
      <c r="C14" s="3"/>
      <c r="D14" s="3" t="s">
        <v>15</v>
      </c>
      <c r="E14" s="3"/>
      <c r="F14" s="3"/>
    </row>
    <row r="15" spans="1:6" x14ac:dyDescent="0.25">
      <c r="A15" s="14" t="s">
        <v>102</v>
      </c>
      <c r="B15" s="3"/>
      <c r="C15" s="3"/>
      <c r="D15" s="3" t="s">
        <v>23</v>
      </c>
      <c r="E15" s="3"/>
      <c r="F15" s="3"/>
    </row>
    <row r="16" spans="1:6" x14ac:dyDescent="0.25">
      <c r="A16" s="14" t="s">
        <v>19</v>
      </c>
      <c r="B16" s="3" t="s">
        <v>135</v>
      </c>
      <c r="C16" s="3"/>
      <c r="D16" s="3" t="s">
        <v>15</v>
      </c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2">
        <v>46076</v>
      </c>
      <c r="B19" s="2">
        <f>A19+27</f>
        <v>46103</v>
      </c>
      <c r="C19" s="12"/>
    </row>
    <row r="20" spans="1:6" x14ac:dyDescent="0.25">
      <c r="A20" s="1"/>
      <c r="B20" s="1"/>
    </row>
    <row r="21" spans="1:6" x14ac:dyDescent="0.25">
      <c r="A21" s="1">
        <v>9</v>
      </c>
      <c r="B21" s="1">
        <f>A21+3</f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CBEC-5952-445B-87E5-16F00B63B7CA}">
  <dimension ref="A1:F20"/>
  <sheetViews>
    <sheetView workbookViewId="0">
      <selection activeCell="A5" sqref="A5"/>
    </sheetView>
  </sheetViews>
  <sheetFormatPr defaultRowHeight="15" x14ac:dyDescent="0.25"/>
  <cols>
    <col min="1" max="1" width="27.7109375" customWidth="1"/>
    <col min="3" max="3" width="17.28515625" customWidth="1"/>
    <col min="4" max="4" width="26.7109375" customWidth="1"/>
    <col min="5" max="5" width="20.28515625" customWidth="1"/>
    <col min="6" max="6" width="46.57031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14" t="s">
        <v>12</v>
      </c>
      <c r="B3" s="3"/>
      <c r="C3" s="3"/>
      <c r="D3" s="3" t="s">
        <v>109</v>
      </c>
      <c r="E3" s="3"/>
      <c r="F3" s="3"/>
    </row>
    <row r="4" spans="1:6" x14ac:dyDescent="0.25">
      <c r="A4" s="14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3" t="s">
        <v>25</v>
      </c>
      <c r="B5" s="3"/>
      <c r="C5" s="3"/>
      <c r="D5" s="3" t="s">
        <v>108</v>
      </c>
      <c r="E5" s="3"/>
      <c r="F5" s="3"/>
    </row>
    <row r="6" spans="1:6" x14ac:dyDescent="0.25">
      <c r="A6" s="14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14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/>
      <c r="C8" s="3"/>
      <c r="D8" s="3" t="s">
        <v>15</v>
      </c>
      <c r="E8" s="3"/>
      <c r="F8" s="3"/>
    </row>
    <row r="9" spans="1:6" ht="15.75" x14ac:dyDescent="0.25">
      <c r="A9" s="13" t="s">
        <v>6</v>
      </c>
      <c r="B9" s="3"/>
      <c r="C9" s="3"/>
      <c r="D9" s="3" t="s">
        <v>23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/>
      <c r="F10" s="3"/>
    </row>
    <row r="11" spans="1:6" x14ac:dyDescent="0.25">
      <c r="A11" s="15" t="s">
        <v>16</v>
      </c>
      <c r="B11" s="3"/>
      <c r="C11" s="3"/>
      <c r="D11" s="3" t="s">
        <v>15</v>
      </c>
      <c r="E11" s="3"/>
      <c r="F11" s="3"/>
    </row>
    <row r="12" spans="1:6" x14ac:dyDescent="0.25">
      <c r="A12" s="14" t="s">
        <v>24</v>
      </c>
      <c r="B12" s="3"/>
      <c r="C12" s="3"/>
      <c r="D12" s="3" t="s">
        <v>103</v>
      </c>
      <c r="E12" s="3"/>
      <c r="F12" s="3"/>
    </row>
    <row r="13" spans="1:6" x14ac:dyDescent="0.25">
      <c r="A13" s="14" t="s">
        <v>17</v>
      </c>
      <c r="B13" s="3"/>
      <c r="C13" s="3"/>
      <c r="D13" s="3" t="s">
        <v>15</v>
      </c>
      <c r="E13" s="3"/>
      <c r="F13" s="3"/>
    </row>
    <row r="14" spans="1:6" x14ac:dyDescent="0.25">
      <c r="A14" s="14" t="s">
        <v>102</v>
      </c>
      <c r="B14" s="3"/>
      <c r="C14" s="3"/>
      <c r="D14" s="3" t="s">
        <v>23</v>
      </c>
      <c r="E14" s="3"/>
      <c r="F14" s="3"/>
    </row>
    <row r="15" spans="1:6" x14ac:dyDescent="0.25">
      <c r="A15" s="3" t="s">
        <v>19</v>
      </c>
      <c r="B15" s="3"/>
      <c r="C15" s="3"/>
      <c r="D15" s="3" t="s">
        <v>15</v>
      </c>
      <c r="E15" s="3"/>
      <c r="F15" s="3"/>
    </row>
    <row r="16" spans="1:6" x14ac:dyDescent="0.25">
      <c r="A16" s="3" t="s">
        <v>136</v>
      </c>
      <c r="B16" s="3"/>
      <c r="C16" s="3"/>
      <c r="D16" s="3" t="s">
        <v>23</v>
      </c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2">
        <v>46104</v>
      </c>
      <c r="B18" s="2">
        <f>A18+27</f>
        <v>46131</v>
      </c>
      <c r="C18" s="12"/>
    </row>
    <row r="19" spans="1:6" x14ac:dyDescent="0.25">
      <c r="A19" s="1"/>
      <c r="B19" s="1"/>
    </row>
    <row r="20" spans="1:6" x14ac:dyDescent="0.25">
      <c r="A20" s="1">
        <v>13</v>
      </c>
      <c r="B20" s="1">
        <f>A20+3</f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73AD-C898-43CC-AE1B-168DD89E9B58}">
  <dimension ref="A1:F20"/>
  <sheetViews>
    <sheetView workbookViewId="0">
      <selection activeCell="G17" sqref="G17"/>
    </sheetView>
  </sheetViews>
  <sheetFormatPr defaultRowHeight="15" x14ac:dyDescent="0.25"/>
  <cols>
    <col min="1" max="1" width="27.7109375" customWidth="1"/>
    <col min="3" max="3" width="17.28515625" customWidth="1"/>
    <col min="4" max="4" width="26.7109375" customWidth="1"/>
    <col min="5" max="5" width="20.28515625" customWidth="1"/>
    <col min="6" max="6" width="46.57031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14" t="s">
        <v>12</v>
      </c>
      <c r="B3" s="3"/>
      <c r="C3" s="3"/>
      <c r="D3" s="3" t="s">
        <v>109</v>
      </c>
      <c r="E3" s="3"/>
      <c r="F3" s="3"/>
    </row>
    <row r="4" spans="1:6" x14ac:dyDescent="0.25">
      <c r="A4" s="14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3" t="s">
        <v>25</v>
      </c>
      <c r="B5" s="3"/>
      <c r="C5" s="3"/>
      <c r="D5" s="3" t="s">
        <v>108</v>
      </c>
      <c r="E5" s="3"/>
      <c r="F5" s="3"/>
    </row>
    <row r="6" spans="1:6" x14ac:dyDescent="0.25">
      <c r="A6" s="14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14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/>
      <c r="C8" s="3"/>
      <c r="D8" s="3" t="s">
        <v>15</v>
      </c>
      <c r="E8" s="3"/>
      <c r="F8" s="3"/>
    </row>
    <row r="9" spans="1:6" ht="15.75" x14ac:dyDescent="0.25">
      <c r="A9" s="13" t="s">
        <v>6</v>
      </c>
      <c r="B9" s="3"/>
      <c r="C9" s="3"/>
      <c r="D9" s="3" t="s">
        <v>23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 t="s">
        <v>139</v>
      </c>
      <c r="F10" s="3"/>
    </row>
    <row r="11" spans="1:6" x14ac:dyDescent="0.25">
      <c r="A11" s="15" t="s">
        <v>16</v>
      </c>
      <c r="B11" s="3"/>
      <c r="C11" s="3"/>
      <c r="D11" s="3" t="s">
        <v>15</v>
      </c>
      <c r="E11" s="3" t="s">
        <v>139</v>
      </c>
      <c r="F11" s="3"/>
    </row>
    <row r="12" spans="1:6" x14ac:dyDescent="0.25">
      <c r="A12" s="14" t="s">
        <v>24</v>
      </c>
      <c r="B12" s="3"/>
      <c r="C12" s="3"/>
      <c r="D12" s="3" t="s">
        <v>103</v>
      </c>
      <c r="E12" s="3"/>
      <c r="F12" s="3"/>
    </row>
    <row r="13" spans="1:6" x14ac:dyDescent="0.25">
      <c r="A13" s="14" t="s">
        <v>17</v>
      </c>
      <c r="B13" s="3"/>
      <c r="C13" s="3"/>
      <c r="D13" s="3" t="s">
        <v>15</v>
      </c>
      <c r="E13" s="3" t="s">
        <v>138</v>
      </c>
      <c r="F13" s="3"/>
    </row>
    <row r="14" spans="1:6" x14ac:dyDescent="0.25">
      <c r="A14" s="14" t="s">
        <v>102</v>
      </c>
      <c r="B14" s="3"/>
      <c r="C14" s="3"/>
      <c r="D14" s="3" t="s">
        <v>23</v>
      </c>
      <c r="E14" s="3"/>
      <c r="F14" s="3"/>
    </row>
    <row r="15" spans="1:6" x14ac:dyDescent="0.25">
      <c r="A15" s="14" t="s">
        <v>19</v>
      </c>
      <c r="B15" s="3"/>
      <c r="C15" s="3"/>
      <c r="D15" s="3" t="s">
        <v>15</v>
      </c>
      <c r="E15" s="3"/>
      <c r="F15" s="3"/>
    </row>
    <row r="16" spans="1:6" x14ac:dyDescent="0.25">
      <c r="A16" s="14" t="s">
        <v>136</v>
      </c>
      <c r="B16" s="3"/>
      <c r="C16" s="3"/>
      <c r="D16" s="3" t="s">
        <v>23</v>
      </c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2">
        <v>46132</v>
      </c>
      <c r="B18" s="2">
        <f>A18+27</f>
        <v>46159</v>
      </c>
      <c r="C18" s="12"/>
    </row>
    <row r="19" spans="1:6" x14ac:dyDescent="0.25">
      <c r="A19" s="1"/>
      <c r="B19" s="1"/>
    </row>
    <row r="20" spans="1:6" x14ac:dyDescent="0.25">
      <c r="A20" s="1">
        <v>17</v>
      </c>
      <c r="B20" s="1">
        <f>A20+3</f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DF6C-2320-4497-AD19-81A7E7A7930E}">
  <dimension ref="A1:F20"/>
  <sheetViews>
    <sheetView workbookViewId="0">
      <selection activeCell="A17" sqref="A17"/>
    </sheetView>
  </sheetViews>
  <sheetFormatPr defaultRowHeight="15" x14ac:dyDescent="0.25"/>
  <cols>
    <col min="1" max="1" width="25.28515625" customWidth="1"/>
    <col min="2" max="2" width="14.5703125" customWidth="1"/>
    <col min="4" max="4" width="27.5703125" customWidth="1"/>
    <col min="6" max="6" width="48.1406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3" t="s">
        <v>12</v>
      </c>
      <c r="B3" s="3"/>
      <c r="C3" s="3"/>
      <c r="D3" s="3" t="s">
        <v>109</v>
      </c>
      <c r="E3" s="3"/>
      <c r="F3" s="3"/>
    </row>
    <row r="4" spans="1:6" x14ac:dyDescent="0.25">
      <c r="A4" s="3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3" t="s">
        <v>25</v>
      </c>
      <c r="B5" s="3"/>
      <c r="C5" s="3"/>
      <c r="D5" s="3" t="s">
        <v>108</v>
      </c>
      <c r="E5" s="3"/>
      <c r="F5" s="3"/>
    </row>
    <row r="6" spans="1:6" x14ac:dyDescent="0.25">
      <c r="A6" s="14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14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/>
      <c r="C8" s="3"/>
      <c r="D8" s="3" t="s">
        <v>15</v>
      </c>
      <c r="E8" s="3"/>
      <c r="F8" s="3"/>
    </row>
    <row r="9" spans="1:6" ht="15.75" x14ac:dyDescent="0.25">
      <c r="A9" s="13" t="s">
        <v>6</v>
      </c>
      <c r="B9" s="3"/>
      <c r="C9" s="3"/>
      <c r="D9" s="3" t="s">
        <v>23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/>
      <c r="F10" s="3"/>
    </row>
    <row r="11" spans="1:6" x14ac:dyDescent="0.25">
      <c r="A11" s="15" t="s">
        <v>16</v>
      </c>
      <c r="B11" s="3"/>
      <c r="C11" s="3"/>
      <c r="D11" s="3" t="s">
        <v>15</v>
      </c>
      <c r="E11" s="3"/>
      <c r="F11" s="3"/>
    </row>
    <row r="12" spans="1:6" x14ac:dyDescent="0.25">
      <c r="A12" s="14" t="s">
        <v>24</v>
      </c>
      <c r="B12" s="3"/>
      <c r="C12" s="3"/>
      <c r="D12" s="3" t="s">
        <v>103</v>
      </c>
      <c r="E12" s="3"/>
      <c r="F12" s="3"/>
    </row>
    <row r="13" spans="1:6" x14ac:dyDescent="0.25">
      <c r="A13" s="14" t="s">
        <v>17</v>
      </c>
      <c r="B13" s="3"/>
      <c r="C13" s="3"/>
      <c r="D13" s="3" t="s">
        <v>15</v>
      </c>
      <c r="E13" s="3"/>
      <c r="F13" s="3"/>
    </row>
    <row r="14" spans="1:6" x14ac:dyDescent="0.25">
      <c r="A14" s="14" t="s">
        <v>102</v>
      </c>
      <c r="B14" s="3"/>
      <c r="C14" s="3"/>
      <c r="D14" s="3" t="s">
        <v>23</v>
      </c>
      <c r="E14" s="3"/>
      <c r="F14" s="3"/>
    </row>
    <row r="15" spans="1:6" x14ac:dyDescent="0.25">
      <c r="A15" s="14" t="s">
        <v>19</v>
      </c>
      <c r="B15" s="3"/>
      <c r="C15" s="3"/>
      <c r="D15" s="3" t="s">
        <v>15</v>
      </c>
      <c r="E15" s="3"/>
      <c r="F15" s="3"/>
    </row>
    <row r="16" spans="1:6" x14ac:dyDescent="0.25">
      <c r="A16" s="14" t="s">
        <v>140</v>
      </c>
      <c r="B16" s="3"/>
      <c r="C16" s="3"/>
      <c r="D16" s="3" t="s">
        <v>27</v>
      </c>
      <c r="E16" s="3"/>
      <c r="F16" s="3"/>
    </row>
    <row r="17" spans="1:6" x14ac:dyDescent="0.25">
      <c r="A17" s="14" t="s">
        <v>9</v>
      </c>
      <c r="B17" s="3"/>
      <c r="C17" s="3"/>
      <c r="D17" s="3"/>
      <c r="E17" s="3"/>
      <c r="F17" s="3"/>
    </row>
    <row r="18" spans="1:6" x14ac:dyDescent="0.25">
      <c r="A18" s="2">
        <v>46160</v>
      </c>
      <c r="B18" s="2">
        <f>A18+27</f>
        <v>46187</v>
      </c>
      <c r="C18" s="12"/>
    </row>
    <row r="19" spans="1:6" x14ac:dyDescent="0.25">
      <c r="A19" s="1"/>
      <c r="B19" s="1"/>
    </row>
    <row r="20" spans="1:6" x14ac:dyDescent="0.25">
      <c r="A20" s="1">
        <v>21</v>
      </c>
      <c r="B20" s="1">
        <f>A20+3</f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7E9C-94AD-4D93-9922-DE78AE73D735}">
  <dimension ref="A1:F20"/>
  <sheetViews>
    <sheetView workbookViewId="0">
      <selection activeCell="A17" sqref="A17"/>
    </sheetView>
  </sheetViews>
  <sheetFormatPr defaultRowHeight="15" x14ac:dyDescent="0.25"/>
  <cols>
    <col min="1" max="1" width="25.28515625" customWidth="1"/>
    <col min="2" max="2" width="14.5703125" customWidth="1"/>
    <col min="4" max="4" width="27.5703125" customWidth="1"/>
    <col min="6" max="6" width="48.1406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3" t="s">
        <v>12</v>
      </c>
      <c r="B3" s="3"/>
      <c r="C3" s="3"/>
      <c r="D3" s="3" t="s">
        <v>109</v>
      </c>
      <c r="E3" s="3"/>
      <c r="F3" s="3"/>
    </row>
    <row r="4" spans="1:6" x14ac:dyDescent="0.25">
      <c r="A4" s="3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3" t="s">
        <v>25</v>
      </c>
      <c r="B5" s="3"/>
      <c r="C5" s="3"/>
      <c r="D5" s="3" t="s">
        <v>108</v>
      </c>
      <c r="E5" s="3"/>
      <c r="F5" s="3"/>
    </row>
    <row r="6" spans="1:6" x14ac:dyDescent="0.25">
      <c r="A6" s="3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14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/>
      <c r="C8" s="3"/>
      <c r="D8" s="3" t="s">
        <v>15</v>
      </c>
      <c r="E8" s="3"/>
      <c r="F8" s="3"/>
    </row>
    <row r="9" spans="1:6" ht="15.75" x14ac:dyDescent="0.25">
      <c r="A9" s="13" t="s">
        <v>6</v>
      </c>
      <c r="B9" s="3"/>
      <c r="C9" s="3"/>
      <c r="D9" s="3" t="s">
        <v>23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/>
      <c r="F10" s="3"/>
    </row>
    <row r="11" spans="1:6" x14ac:dyDescent="0.25">
      <c r="A11" s="15" t="s">
        <v>16</v>
      </c>
      <c r="B11" s="3"/>
      <c r="C11" s="3"/>
      <c r="D11" s="3" t="s">
        <v>15</v>
      </c>
      <c r="E11" s="3"/>
      <c r="F11" s="3"/>
    </row>
    <row r="12" spans="1:6" x14ac:dyDescent="0.25">
      <c r="A12" s="14" t="s">
        <v>24</v>
      </c>
      <c r="B12" s="3"/>
      <c r="C12" s="3"/>
      <c r="D12" s="3" t="s">
        <v>103</v>
      </c>
      <c r="E12" s="3"/>
      <c r="F12" s="3"/>
    </row>
    <row r="13" spans="1:6" x14ac:dyDescent="0.25">
      <c r="A13" s="14" t="s">
        <v>17</v>
      </c>
      <c r="B13" s="3"/>
      <c r="C13" s="3"/>
      <c r="D13" s="3" t="s">
        <v>15</v>
      </c>
      <c r="E13" s="3"/>
      <c r="F13" s="3"/>
    </row>
    <row r="14" spans="1:6" x14ac:dyDescent="0.25">
      <c r="A14" s="14" t="s">
        <v>102</v>
      </c>
      <c r="B14" s="3"/>
      <c r="C14" s="3"/>
      <c r="D14" s="3" t="s">
        <v>23</v>
      </c>
      <c r="E14" s="3"/>
      <c r="F14" s="3"/>
    </row>
    <row r="15" spans="1:6" x14ac:dyDescent="0.25">
      <c r="A15" s="14" t="s">
        <v>19</v>
      </c>
      <c r="B15" s="3"/>
      <c r="C15" s="3"/>
      <c r="D15" s="3" t="s">
        <v>15</v>
      </c>
      <c r="E15" s="3"/>
      <c r="F15" s="3"/>
    </row>
    <row r="16" spans="1:6" x14ac:dyDescent="0.25">
      <c r="A16" s="14" t="s">
        <v>140</v>
      </c>
      <c r="B16" s="3"/>
      <c r="C16" s="3"/>
      <c r="D16" s="3"/>
      <c r="E16" s="3"/>
      <c r="F16" s="3"/>
    </row>
    <row r="17" spans="1:6" x14ac:dyDescent="0.25">
      <c r="A17" s="14" t="s">
        <v>9</v>
      </c>
      <c r="B17" s="3"/>
      <c r="C17" s="3"/>
      <c r="D17" s="3"/>
      <c r="E17" s="3"/>
      <c r="F17" s="3"/>
    </row>
    <row r="18" spans="1:6" x14ac:dyDescent="0.25">
      <c r="A18" s="2">
        <v>46188</v>
      </c>
      <c r="B18" s="2">
        <f>A18+27</f>
        <v>46215</v>
      </c>
      <c r="C18" s="12"/>
    </row>
    <row r="19" spans="1:6" x14ac:dyDescent="0.25">
      <c r="A19" s="1"/>
      <c r="B19" s="1"/>
    </row>
    <row r="20" spans="1:6" x14ac:dyDescent="0.25">
      <c r="A20" s="1">
        <v>25</v>
      </c>
      <c r="B20" s="1">
        <f>A20+3</f>
        <v>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1785-0D5A-4FF5-B16E-BA2065533B5C}">
  <dimension ref="A1:F20"/>
  <sheetViews>
    <sheetView workbookViewId="0">
      <selection activeCell="D20" sqref="D20"/>
    </sheetView>
  </sheetViews>
  <sheetFormatPr defaultRowHeight="15" x14ac:dyDescent="0.25"/>
  <cols>
    <col min="1" max="1" width="25.28515625" customWidth="1"/>
    <col min="2" max="2" width="14.5703125" customWidth="1"/>
    <col min="4" max="4" width="27.5703125" customWidth="1"/>
    <col min="6" max="6" width="48.140625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4" t="s">
        <v>22</v>
      </c>
      <c r="B2" s="3"/>
      <c r="C2" s="3"/>
      <c r="D2" s="3" t="s">
        <v>23</v>
      </c>
      <c r="E2" s="3"/>
      <c r="F2" s="3"/>
    </row>
    <row r="3" spans="1:6" x14ac:dyDescent="0.25">
      <c r="A3" s="3" t="s">
        <v>12</v>
      </c>
      <c r="B3" s="3"/>
      <c r="C3" s="3"/>
      <c r="D3" s="3" t="s">
        <v>109</v>
      </c>
      <c r="E3" s="3"/>
      <c r="F3" s="3"/>
    </row>
    <row r="4" spans="1:6" x14ac:dyDescent="0.25">
      <c r="A4" s="3" t="s">
        <v>12</v>
      </c>
      <c r="B4" s="3"/>
      <c r="C4" s="3"/>
      <c r="D4" s="3" t="s">
        <v>112</v>
      </c>
      <c r="E4" s="3"/>
      <c r="F4" s="3" t="s">
        <v>118</v>
      </c>
    </row>
    <row r="5" spans="1:6" x14ac:dyDescent="0.25">
      <c r="A5" s="3" t="s">
        <v>25</v>
      </c>
      <c r="B5" s="3"/>
      <c r="C5" s="3"/>
      <c r="D5" s="3" t="s">
        <v>108</v>
      </c>
      <c r="E5" s="3"/>
      <c r="F5" s="3"/>
    </row>
    <row r="6" spans="1:6" x14ac:dyDescent="0.25">
      <c r="A6" s="3" t="s">
        <v>25</v>
      </c>
      <c r="B6" s="3"/>
      <c r="C6" s="3"/>
      <c r="D6" s="3" t="s">
        <v>127</v>
      </c>
      <c r="E6" s="3"/>
      <c r="F6" s="3" t="s">
        <v>130</v>
      </c>
    </row>
    <row r="7" spans="1:6" x14ac:dyDescent="0.25">
      <c r="A7" s="3" t="s">
        <v>25</v>
      </c>
      <c r="B7" s="3"/>
      <c r="C7" s="3"/>
      <c r="D7" s="3" t="s">
        <v>131</v>
      </c>
      <c r="E7" s="3"/>
      <c r="F7" s="3"/>
    </row>
    <row r="8" spans="1:6" x14ac:dyDescent="0.25">
      <c r="A8" s="14" t="s">
        <v>14</v>
      </c>
      <c r="B8" s="3"/>
      <c r="C8" s="3"/>
      <c r="D8" s="3" t="s">
        <v>15</v>
      </c>
      <c r="E8" s="3"/>
      <c r="F8" s="3"/>
    </row>
    <row r="9" spans="1:6" ht="15.75" x14ac:dyDescent="0.25">
      <c r="A9" s="13" t="s">
        <v>6</v>
      </c>
      <c r="B9" s="3"/>
      <c r="C9" s="3"/>
      <c r="D9" s="3" t="s">
        <v>23</v>
      </c>
      <c r="E9" s="3"/>
      <c r="F9" s="4"/>
    </row>
    <row r="10" spans="1:6" x14ac:dyDescent="0.25">
      <c r="A10" s="14" t="s">
        <v>20</v>
      </c>
      <c r="B10" s="3"/>
      <c r="C10" s="3"/>
      <c r="D10" s="3" t="s">
        <v>21</v>
      </c>
      <c r="E10" s="3"/>
      <c r="F10" s="3"/>
    </row>
    <row r="11" spans="1:6" x14ac:dyDescent="0.25">
      <c r="A11" s="15" t="s">
        <v>16</v>
      </c>
      <c r="B11" s="3"/>
      <c r="C11" s="3"/>
      <c r="D11" s="3" t="s">
        <v>15</v>
      </c>
      <c r="E11" s="3"/>
      <c r="F11" s="3"/>
    </row>
    <row r="12" spans="1:6" x14ac:dyDescent="0.25">
      <c r="A12" s="3" t="s">
        <v>24</v>
      </c>
      <c r="B12" s="3"/>
      <c r="C12" s="3"/>
      <c r="D12" s="3" t="s">
        <v>103</v>
      </c>
      <c r="E12" s="3"/>
      <c r="F12" s="3"/>
    </row>
    <row r="13" spans="1:6" x14ac:dyDescent="0.25">
      <c r="A13" s="14" t="s">
        <v>17</v>
      </c>
      <c r="B13" s="3"/>
      <c r="C13" s="3"/>
      <c r="D13" s="3" t="s">
        <v>15</v>
      </c>
      <c r="E13" s="3"/>
      <c r="F13" s="3"/>
    </row>
    <row r="14" spans="1:6" x14ac:dyDescent="0.25">
      <c r="A14" s="14" t="s">
        <v>102</v>
      </c>
      <c r="B14" s="3"/>
      <c r="C14" s="3"/>
      <c r="D14" s="3" t="s">
        <v>23</v>
      </c>
      <c r="E14" s="3"/>
      <c r="F14" s="3"/>
    </row>
    <row r="15" spans="1:6" x14ac:dyDescent="0.25">
      <c r="A15" s="14" t="s">
        <v>19</v>
      </c>
      <c r="B15" s="3"/>
      <c r="C15" s="3"/>
      <c r="D15" s="3" t="s">
        <v>15</v>
      </c>
      <c r="E15" s="3"/>
      <c r="F15" s="3"/>
    </row>
    <row r="16" spans="1:6" x14ac:dyDescent="0.25">
      <c r="A16" s="14" t="s">
        <v>140</v>
      </c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2">
        <v>46186</v>
      </c>
      <c r="B18" s="2">
        <f>A18+27</f>
        <v>46213</v>
      </c>
      <c r="C18" s="12"/>
    </row>
    <row r="19" spans="1:6" x14ac:dyDescent="0.25">
      <c r="A19" s="1"/>
      <c r="B19" s="1"/>
    </row>
    <row r="20" spans="1:6" x14ac:dyDescent="0.25">
      <c r="A20" s="1">
        <v>29</v>
      </c>
      <c r="B20" s="1">
        <f>A20+3</f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 xmlns="81ad5478-0b62-44d1-8f10-b69a48f14f26" xsi:nil="true"/>
    <Jaar xmlns="81ad5478-0b62-44d1-8f10-b69a48f14f26">Actueel</Jaar>
    <Soort xmlns="81ad5478-0b62-44d1-8f10-b69a48f14f26">4. Overzichten</Soor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712E290DE70B4FB1C85909F8E216F6" ma:contentTypeVersion="16" ma:contentTypeDescription="Een nieuw document maken." ma:contentTypeScope="" ma:versionID="4c7dad8341437b64c078ab72a2d2e0ba">
  <xsd:schema xmlns:xsd="http://www.w3.org/2001/XMLSchema" xmlns:xs="http://www.w3.org/2001/XMLSchema" xmlns:p="http://schemas.microsoft.com/office/2006/metadata/properties" xmlns:ns2="81ad5478-0b62-44d1-8f10-b69a48f14f26" xmlns:ns3="123545d2-4224-4af1-9915-4d0c0aa58b2e" targetNamespace="http://schemas.microsoft.com/office/2006/metadata/properties" ma:root="true" ma:fieldsID="6aa4210ab5b0876fe670faca1815107c" ns2:_="" ns3:_="">
    <xsd:import namespace="81ad5478-0b62-44d1-8f10-b69a48f14f26"/>
    <xsd:import namespace="123545d2-4224-4af1-9915-4d0c0aa58b2e"/>
    <xsd:element name="properties">
      <xsd:complexType>
        <xsd:sequence>
          <xsd:element name="documentManagement">
            <xsd:complexType>
              <xsd:all>
                <xsd:element ref="ns2:Soort" minOccurs="0"/>
                <xsd:element ref="ns2:Datum" minOccurs="0"/>
                <xsd:element ref="ns2:Jaar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d5478-0b62-44d1-8f10-b69a48f14f26" elementFormDefault="qualified">
    <xsd:import namespace="http://schemas.microsoft.com/office/2006/documentManagement/types"/>
    <xsd:import namespace="http://schemas.microsoft.com/office/infopath/2007/PartnerControls"/>
    <xsd:element name="Soort" ma:index="1" nillable="true" ma:displayName="Soort" ma:format="Dropdown" ma:internalName="Soort">
      <xsd:simpleType>
        <xsd:restriction base="dms:Choice">
          <xsd:enumeration value="1. Post in"/>
          <xsd:enumeration value="2. Post uit"/>
          <xsd:enumeration value="3. Overleggen"/>
          <xsd:enumeration value="4. Overzichten"/>
          <xsd:enumeration value="5. Inlogcodes"/>
          <xsd:enumeration value="6. Protocollen Frans"/>
          <xsd:enumeration value="7. Huisstijl"/>
          <xsd:enumeration value="8. Kamer van Koophandel"/>
          <xsd:enumeration value="9. Urenstaten"/>
          <xsd:enumeration value="rest"/>
        </xsd:restriction>
      </xsd:simpleType>
    </xsd:element>
    <xsd:element name="Datum" ma:index="2" nillable="true" ma:displayName="Datum" ma:format="DateOnly" ma:internalName="Datum" ma:readOnly="false">
      <xsd:simpleType>
        <xsd:restriction base="dms:DateTime"/>
      </xsd:simpleType>
    </xsd:element>
    <xsd:element name="Jaar" ma:index="3" nillable="true" ma:displayName="Jaar" ma:format="Dropdown" ma:internalName="Jaar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545d2-4224-4af1-9915-4d0c0aa58b2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oudstype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1F4AE0-9B37-44C4-BD86-76F70EFF3B17}">
  <ds:schemaRefs>
    <ds:schemaRef ds:uri="http://purl.org/dc/elements/1.1/"/>
    <ds:schemaRef ds:uri="http://www.w3.org/XML/1998/namespace"/>
    <ds:schemaRef ds:uri="81ad5478-0b62-44d1-8f10-b69a48f14f26"/>
    <ds:schemaRef ds:uri="123545d2-4224-4af1-9915-4d0c0aa58b2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17EEA2-9E6B-4F28-BDAB-C4191635C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d5478-0b62-44d1-8f10-b69a48f14f26"/>
    <ds:schemaRef ds:uri="123545d2-4224-4af1-9915-4d0c0aa58b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46693D-116F-4B80-B803-7F91FD3160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Contractoverzicht</vt:lpstr>
      <vt:lpstr>Periode 1</vt:lpstr>
      <vt:lpstr>Periode 2</vt:lpstr>
      <vt:lpstr>Periode 3</vt:lpstr>
      <vt:lpstr>Periode 4</vt:lpstr>
      <vt:lpstr>Periode 5</vt:lpstr>
      <vt:lpstr>Periode 6</vt:lpstr>
      <vt:lpstr>Periode 7</vt:lpstr>
      <vt:lpstr>Periode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Bloemen, Jens</dc:creator>
  <cp:keywords/>
  <dc:description/>
  <cp:lastModifiedBy>Weert, Justin de</cp:lastModifiedBy>
  <cp:revision/>
  <dcterms:created xsi:type="dcterms:W3CDTF">2024-02-08T09:27:50Z</dcterms:created>
  <dcterms:modified xsi:type="dcterms:W3CDTF">2026-09-02T11:22:35Z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0x01010082712E290DE70B4FB1C85909F8E216F6</vt:lpwstr>
  </property>
</Properties>
</file>